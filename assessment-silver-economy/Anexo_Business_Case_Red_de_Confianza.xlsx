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Modelo" sheetId="3" state="visible" r:id="rId5"/>
    <sheet name="Valor_emisor" sheetId="4" state="visible" r:id="rId6"/>
    <sheet name="Sensibilidad" sheetId="5" state="visible" r:id="rId7"/>
    <sheet name="Validacion_datos" sheetId="6" state="visible" r:id="rId8"/>
    <sheet name="Fu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<sst xmlns="http://schemas.openxmlformats.org/spreadsheetml/2006/main" count="289" uniqueCount="222">
  <si>
    <t xml:space="preserve">Resumen del business case · Red de Confianza</t>
  </si>
  <si>
    <t xml:space="preserve">ROI = (Σ EBITDA 3 años − Inversión) / Inversión · VAN y TIR sobre flujos netos de 3 años sin valor terminal · Payback = meses hasta flujo acumulado ≥ 0.</t>
  </si>
  <si>
    <t xml:space="preserve">Indicador</t>
  </si>
  <si>
    <t xml:space="preserve">Conservador</t>
  </si>
  <si>
    <t xml:space="preserve">Base</t>
  </si>
  <si>
    <t xml:space="preserve">Optimista</t>
  </si>
  <si>
    <t xml:space="preserve">TAM: personas 60+ (2025)</t>
  </si>
  <si>
    <t xml:space="preserve">SAM: 60+ con tarjeta activa</t>
  </si>
  <si>
    <t xml:space="preserve">SOM: tarjetas 60+ en emisores Credibanco</t>
  </si>
  <si>
    <t xml:space="preserve">Tarjetas cubiertas · Año 3</t>
  </si>
  <si>
    <t xml:space="preserve">Tarjetas inscritas · Año 3</t>
  </si>
  <si>
    <t xml:space="preserve">Ingresos · Año 3 (COP)</t>
  </si>
  <si>
    <t xml:space="preserve">EBITDA · Año 3 (COP)</t>
  </si>
  <si>
    <t xml:space="preserve">Margen EBITDA · Año 3</t>
  </si>
  <si>
    <t xml:space="preserve">Inversión inicial (COP)</t>
  </si>
  <si>
    <t xml:space="preserve">Flujo acumulado 3 años (COP)</t>
  </si>
  <si>
    <t xml:space="preserve">ROI a 3 años</t>
  </si>
  <si>
    <t xml:space="preserve">VAN @ tasa de descuento (COP)</t>
  </si>
  <si>
    <t xml:space="preserve">TIR</t>
  </si>
  <si>
    <t xml:space="preserve">Payback (meses)</t>
  </si>
  <si>
    <t xml:space="preserve">Punto de equilibrio Año 3 (tarjetas cubiertas)</t>
  </si>
  <si>
    <t xml:space="preserve">Punto de equilibrio como % del SOM</t>
  </si>
  <si>
    <t xml:space="preserve">Precio mínimo Escudo para VAN = 0 (COP/tarjeta/mes)</t>
  </si>
  <si>
    <t xml:space="preserve">VAN esperado (ponderación 25% / 50% / 25%)</t>
  </si>
  <si>
    <t xml:space="preserve">Pérdida máxima si se detiene en el gate del piloto (inversión + ~1 mes de operación)</t>
  </si>
  <si>
    <t xml:space="preserve">Dictamen: APROBADO CON CONDICIONES — financiar discovery + MVP + piloto (≈COP 0,8–0,9 mil millones) y decidir escalamiento con los kill criteria del piloto.</t>
  </si>
  <si>
    <t xml:space="preserve">Business case · Red de Confianza (Silver Economy) · Supuestos</t>
  </si>
  <si>
    <t xml:space="preserve">Cifras en pesos colombianos (COP). Periodo base de población y precios: 2025. Año 1 = primeros 12 meses del roadmap. Texto azul = supuesto editable; celdas amarillas = supuestos críticos a validar en discovery.</t>
  </si>
  <si>
    <t xml:space="preserve">Supuesto</t>
  </si>
  <si>
    <t xml:space="preserve">Unidad</t>
  </si>
  <si>
    <t xml:space="preserve">Fuente / lógica</t>
  </si>
  <si>
    <t xml:space="preserve">TAM: personas de 60+ en Colombia (2025)</t>
  </si>
  <si>
    <t xml:space="preserve">personas</t>
  </si>
  <si>
    <t xml:space="preserve">DANE, proyecciones CNPV 2018: 60+ ≈15,5% de la población en 2024 (2021: 7,1 M, 13,9%). Redondeado a 8,0 M para 2025.</t>
  </si>
  <si>
    <t xml:space="preserve">SAM: personas 60+ con tarjeta débito/crédito activa</t>
  </si>
  <si>
    <t xml:space="preserve">Supuesto. Ancla: 2,11 M pensionados (SFC 2024) con mesada en cuenta + 60+ bancarizados con ingresos. RIF 2024: 65+ es el grupo con menor uso de depósitos. Validar con datos de emisores.</t>
  </si>
  <si>
    <t xml:space="preserve">Participación de tarjetas de emisores clientes de Credibanco</t>
  </si>
  <si>
    <t xml:space="preserve">%</t>
  </si>
  <si>
    <t xml:space="preserve">Supuesto (no hay dato público de participación). Validar con el área comercial: emisores procesados por Credibanco.</t>
  </si>
  <si>
    <t xml:space="preserve">Cobertura: % del SOM en emisores que contratan · Año 1</t>
  </si>
  <si>
    <t xml:space="preserve">Año 1 = piloto con 1 emisor + primeras ventas.</t>
  </si>
  <si>
    <t xml:space="preserve">Cobertura · Año 2</t>
  </si>
  <si>
    <t xml:space="preserve">Ritmo de firma de emisores (ciclo de venta B2B 6–9 meses).</t>
  </si>
  <si>
    <t xml:space="preserve">Cobertura · Año 3</t>
  </si>
  <si>
    <t xml:space="preserve">Inscripción al Círculo de Confianza (% de tarjetas cubiertas) · Año 1</t>
  </si>
  <si>
    <t xml:space="preserve">Opt-in asistido (oficina, línea, WhatsApp). Hipótesis H1 del piloto.</t>
  </si>
  <si>
    <t xml:space="preserve">Inscripción · Año 2</t>
  </si>
  <si>
    <t xml:space="preserve">Inscripción · Año 3</t>
  </si>
  <si>
    <t xml:space="preserve">Precio Escudo Senior (cobrado al emisor)</t>
  </si>
  <si>
    <t xml:space="preserve">COP/tarjeta cubierta/mes</t>
  </si>
  <si>
    <t xml:space="preserve">Supuesto de precio por valor: ahorro estimado en fraude ≈ 1,5x el precio (hoja Valor_emisor). Validar disposición a pagar (H4).</t>
  </si>
  <si>
    <t xml:space="preserve">Precio Círculo de Confianza (cobrado al emisor)</t>
  </si>
  <si>
    <t xml:space="preserve">COP/tarjeta inscrita/mes</t>
  </si>
  <si>
    <t xml:space="preserve">≈10% de una cuota de manejo de débito. Validar disposición a pagar (H4).</t>
  </si>
  <si>
    <t xml:space="preserve">Gasto mensual con tarjeta de una persona inscrita</t>
  </si>
  <si>
    <t xml:space="preserve">COP/mes</t>
  </si>
  <si>
    <t xml:space="preserve">Supuesto. Validar con datos transaccionales del emisor piloto.</t>
  </si>
  <si>
    <t xml:space="preserve">Aumento del gasto con tarjeta tras inscribirse (migración desde efectivo)</t>
  </si>
  <si>
    <t xml:space="preserve">Hipótesis H3. Contexto: el efectivo es ≈78% de las transacciones (BanRep).</t>
  </si>
  <si>
    <t xml:space="preserve">Ingreso neto de Credibanco sobre el valor incremental procesado</t>
  </si>
  <si>
    <t xml:space="preserve">Supuesto conservador de ingreso neto de red/adquirencia. Validar con Finanzas.</t>
  </si>
  <si>
    <t xml:space="preserve">Costo variable Escudo (cómputo + verificaciones)</t>
  </si>
  <si>
    <t xml:space="preserve">Supuesto.</t>
  </si>
  <si>
    <t xml:space="preserve">Costo variable Círculo (≈5 alertas WhatsApp/SMS + soporte)</t>
  </si>
  <si>
    <t xml:space="preserve">Supuesto: ≈COP 60 por mensaje + soporte.</t>
  </si>
  <si>
    <t xml:space="preserve">Inversión inicial (discovery, MVP, integración, legal, piloto)</t>
  </si>
  <si>
    <t xml:space="preserve">COP</t>
  </si>
  <si>
    <t xml:space="preserve">Squad ~7 meses (≈COP 85 M/mes) + infraestructura, legal y piloto. Conservador +15%, optimista −10%.</t>
  </si>
  <si>
    <t xml:space="preserve">Costos fijos de operación · Año 1 (meses posteriores al MVP)</t>
  </si>
  <si>
    <t xml:space="preserve">Equipo de operación ≈COP 53 M/mes + infraestructura y cumplimiento.</t>
  </si>
  <si>
    <t xml:space="preserve">Costos fijos · Año 2</t>
  </si>
  <si>
    <t xml:space="preserve">Costos fijos · Año 3</t>
  </si>
  <si>
    <t xml:space="preserve">Meses facturables · Año 1</t>
  </si>
  <si>
    <t xml:space="preserve">meses</t>
  </si>
  <si>
    <t xml:space="preserve">El piloto (meses 5–7) no se cobra; la facturación empieza en el mes 9.</t>
  </si>
  <si>
    <t xml:space="preserve">Meses facturables · Año 2</t>
  </si>
  <si>
    <t xml:space="preserve">Meses facturables · Año 3</t>
  </si>
  <si>
    <t xml:space="preserve">Tasa de descuento</t>
  </si>
  <si>
    <t xml:space="preserve">Supuesto de costo de capital de referencia. Validar con Finanzas.</t>
  </si>
  <si>
    <t xml:space="preserve">Modelo por escenario · COP</t>
  </si>
  <si>
    <t xml:space="preserve">Escenario Conservador</t>
  </si>
  <si>
    <t xml:space="preserve">Año 1</t>
  </si>
  <si>
    <t xml:space="preserve">Año 2</t>
  </si>
  <si>
    <t xml:space="preserve">Año 3</t>
  </si>
  <si>
    <t xml:space="preserve">Tarjetas cubiertas por Escudo</t>
  </si>
  <si>
    <t xml:space="preserve">Tarjetas inscritas en Círculo</t>
  </si>
  <si>
    <t xml:space="preserve">Ingreso Escudo</t>
  </si>
  <si>
    <t xml:space="preserve">Ingreso Círculo</t>
  </si>
  <si>
    <t xml:space="preserve">Ingreso transaccional incremental</t>
  </si>
  <si>
    <t xml:space="preserve">Ingresos totales</t>
  </si>
  <si>
    <t xml:space="preserve">Costos variables</t>
  </si>
  <si>
    <t xml:space="preserve">Margen de contribución</t>
  </si>
  <si>
    <t xml:space="preserve">Costos fijos</t>
  </si>
  <si>
    <t xml:space="preserve">EBITDA</t>
  </si>
  <si>
    <t xml:space="preserve">Margen EBITDA</t>
  </si>
  <si>
    <t xml:space="preserve">Inversión</t>
  </si>
  <si>
    <t xml:space="preserve">Flujo neto</t>
  </si>
  <si>
    <t xml:space="preserve">Flujo acumulado</t>
  </si>
  <si>
    <t xml:space="preserve">Flujo descontado</t>
  </si>
  <si>
    <t xml:space="preserve">Escenario Base</t>
  </si>
  <si>
    <t xml:space="preserve">Escenario Optimista</t>
  </si>
  <si>
    <t xml:space="preserve">¿Por qué pagaría el emisor? Valor estimado por tarjeta y año (escenario base)</t>
  </si>
  <si>
    <t xml:space="preserve">Concepto</t>
  </si>
  <si>
    <t xml:space="preserve">Valor</t>
  </si>
  <si>
    <t xml:space="preserve">Incidencia anual de fraude en tarjetas 60+</t>
  </si>
  <si>
    <t xml:space="preserve">Supuesto: 0,8% de tarjetas con un caso al año. Dato clave a pedir al emisor (fraude por edad).</t>
  </si>
  <si>
    <t xml:space="preserve">Pérdida promedio por caso (reembolso)</t>
  </si>
  <si>
    <t xml:space="preserve">Costo operativo por caso (investigación, call center, quejas SFC)</t>
  </si>
  <si>
    <t xml:space="preserve">Reducción de fraude con Escudo (reglas)</t>
  </si>
  <si>
    <t xml:space="preserve">Hipótesis H3.</t>
  </si>
  <si>
    <t xml:space="preserve">Reducción de fraude con Círculo (alertas + límites + cuidador)</t>
  </si>
  <si>
    <t xml:space="preserve">Ingreso neto del emisor sobre gasto incremental (intercambio, neto)</t>
  </si>
  <si>
    <t xml:space="preserve">Valor Escudo por tarjeta cubierta/año</t>
  </si>
  <si>
    <t xml:space="preserve">Fórmula.</t>
  </si>
  <si>
    <t xml:space="preserve">Precio Escudo por tarjeta/año (base)</t>
  </si>
  <si>
    <t xml:space="preserve">Supuesto de precio.</t>
  </si>
  <si>
    <t xml:space="preserve">Relación valor / precio Escudo</t>
  </si>
  <si>
    <t xml:space="preserve">&gt; 1,0x: el emisor gana.</t>
  </si>
  <si>
    <t xml:space="preserve">Valor Círculo por tarjeta inscrita/año</t>
  </si>
  <si>
    <t xml:space="preserve">Fraude evitado + ingreso por mayor uso de la tarjeta.</t>
  </si>
  <si>
    <t xml:space="preserve">Precio Círculo por tarjeta/año (base)</t>
  </si>
  <si>
    <t xml:space="preserve">Relación valor / precio Círculo</t>
  </si>
  <si>
    <t xml:space="preserve">Sin contar retención de la mesada pensional ni reputación.</t>
  </si>
  <si>
    <t xml:space="preserve">Sensibilidad del VAN (escenario base, variación ±20% de cada supuesto, COP millones)</t>
  </si>
  <si>
    <t xml:space="preserve">Valores calculados con este mismo modelo cambiando un supuesto a la vez (corrida del 18-oct-2026). Para recalcular, cambia el supuesto en la hoja Supuestos.</t>
  </si>
  <si>
    <t xml:space="preserve">VAN con −20%</t>
  </si>
  <si>
    <t xml:space="preserve">VAN con +20%</t>
  </si>
  <si>
    <t xml:space="preserve">Rango</t>
  </si>
  <si>
    <t xml:space="preserve">Cobertura de emisores (o participación)</t>
  </si>
  <si>
    <t xml:space="preserve">Precio Escudo</t>
  </si>
  <si>
    <t xml:space="preserve">Precio Círculo</t>
  </si>
  <si>
    <t xml:space="preserve">Inscripción al Círculo</t>
  </si>
  <si>
    <t xml:space="preserve">Inversión inicial</t>
  </si>
  <si>
    <t xml:space="preserve">VAN base de referencia (COP millones)</t>
  </si>
  <si>
    <t xml:space="preserve">Clasificación de los datos iniciales del caso</t>
  </si>
  <si>
    <t xml:space="preserve">Enunciado del caso</t>
  </si>
  <si>
    <t xml:space="preserve">Clasificación</t>
  </si>
  <si>
    <t xml:space="preserve">Qué encontramos</t>
  </si>
  <si>
    <t xml:space="preserve">Cómo lo tratamos</t>
  </si>
  <si>
    <t xml:space="preserve">166 M de personas 50+ en ALC en 2024 (25%) y ~280 M (38%) en 2050 (Banco Mundial)</t>
  </si>
  <si>
    <t xml:space="preserve">Requiere contrastación</t>
  </si>
  <si>
    <t xml:space="preserve">2050: cobertura del Silver Economy Congress 2026 (Grupo Banco Mundial–España) habla de &gt;280 M (≈40%). 2024: no hallamos la cifra en fuente primaria; IFC usa otras cifras y umbrales.</t>
  </si>
  <si>
    <t xml:space="preserve">Solo contexto regional; no entra al business case.</t>
  </si>
  <si>
    <t xml:space="preserve">ALC envejece más rápido; Brasil, Colombia, Uruguay, Argentina y Chile en envejecimiento avanzado (UN WPP 2024)</t>
  </si>
  <si>
    <t xml:space="preserve">Parcialmente incorrecto</t>
  </si>
  <si>
    <t xml:space="preserve">La velocidad de envejecimiento sí la señalan BID y CEPAL. La clasificación por etapas es de CEPAL, no de UN WPP, y ubica a Colombia y Brasil en envejecimiento moderado (Uruguay sí avanzado).</t>
  </si>
  <si>
    <t xml:space="preserve">Corregido: Colombia en envejecimiento moderado pero acelerado (en 2036 habrá más 60+ que menores de 15, DANE).</t>
  </si>
  <si>
    <t xml:space="preserve">AARP: 50+ = 34% del PIB mundial (~US$45 billones) en 2022; 39% (~US$118 billones) en 2050</t>
  </si>
  <si>
    <t xml:space="preserve">Hecho con error de fecha</t>
  </si>
  <si>
    <t xml:space="preserve">Cifras correctas, pero corresponden a 2020 (informe publicado en nov-2022, AARP/Economist Impact).</t>
  </si>
  <si>
    <t xml:space="preserve">Corregido el año; dato global, solo contexto. Para Colombia: consumo 50+ ≈ COP 121 billones/año (≈12% del PIB, 2023, prensa).</t>
  </si>
  <si>
    <t xml:space="preserve">Las personas mayores son prestatarios más responsables (Banco Mundial)</t>
  </si>
  <si>
    <t xml:space="preserve">Interpretación no verificada</t>
  </si>
  <si>
    <t xml:space="preserve">No encontramos la fuente primaria.</t>
  </si>
  <si>
    <t xml:space="preserve">No se usa: el crédito no es rol de la organización.</t>
  </si>
  <si>
    <t xml:space="preserve">52% de las personas en ALC dice no tener ahorros suficientes para la vejez (WEF)</t>
  </si>
  <si>
    <t xml:space="preserve">No verificado</t>
  </si>
  <si>
    <t xml:space="preserve">No hallamos el dato en el WEF. Cercanos: CEPAL 2023, 43,4% de los 65+ sin pensión o con pensión bajo la línea de pobreza.</t>
  </si>
  <si>
    <t xml:space="preserve">Reemplazado por CEPAL.</t>
  </si>
  <si>
    <t xml:space="preserve">DANE: personas mayores = 60+ (Ley 1251 de 2008); 7,1 M (13,9%) en 2021</t>
  </si>
  <si>
    <t xml:space="preserve">Hecho verificado</t>
  </si>
  <si>
    <t xml:space="preserve">DANE, nota estadística nov-2021: 7.107.914 personas (13,9%). 2024: ≈15,5%.</t>
  </si>
  <si>
    <t xml:space="preserve">Base de la segmentación (60+) y del TAM.</t>
  </si>
  <si>
    <t xml:space="preserve">68% de las personas 60+ en Colombia usa banca móvil o billeteras de forma habitual</t>
  </si>
  <si>
    <t xml:space="preserve">Contradicho por fuentes oficiales</t>
  </si>
  <si>
    <t xml:space="preserve">DANE 2021: 36,4% de los 65+ tenía acceso a internet y solo 18,1% lo usaba con regularidad. RIF 2024: los 65+ tienen el menor uso de depósitos (≈1 de cada 3). No hallamos el estudio citado.</t>
  </si>
  <si>
    <t xml:space="preserve">Descartado. La brecha digital y de confianza es el corazón del problema; por eso la solución es asistida y con familiares.</t>
  </si>
  <si>
    <t xml:space="preserve">Fuentes consultadas (fecha de consulta: 18-oct-2026)</t>
  </si>
  <si>
    <t xml:space="preserve">Dato</t>
  </si>
  <si>
    <t xml:space="preserve">Fuente</t>
  </si>
  <si>
    <t xml:space="preserve">Enlace</t>
  </si>
  <si>
    <t xml:space="preserve">Personas 60+ 2021: 7,1 M (13,9%)</t>
  </si>
  <si>
    <t xml:space="preserve">DANE, Nota estadística Personas mayores, nov-2021</t>
  </si>
  <si>
    <t xml:space="preserve">https://www.dane.gov.co/ (nota estadística personas mayores 2021)</t>
  </si>
  <si>
    <t xml:space="preserve">Acceso a internet 65+ (36,4%) y uso regular (18,1%), 2021</t>
  </si>
  <si>
    <t xml:space="preserve">DANE citado por Alcaldía de Bogotá</t>
  </si>
  <si>
    <t xml:space="preserve">https://bogota.gov.co/en/node/209419</t>
  </si>
  <si>
    <t xml:space="preserve">Inclusión financiera por edad (65+ menor uso de depósitos)</t>
  </si>
  <si>
    <t xml:space="preserve">Banca de las Oportunidades y SFC, Reporte de Inclusión Financiera 2024</t>
  </si>
  <si>
    <t xml:space="preserve">https://www.superfinanciera.gov.co/publicaciones/10115642/</t>
  </si>
  <si>
    <t xml:space="preserve">Indicadores 2025 (acceso a depósitos 96,5%)</t>
  </si>
  <si>
    <t xml:space="preserve">Banca de las Oportunidades, presentación RIF 2025 (ago-2026)</t>
  </si>
  <si>
    <t xml:space="preserve">https://www.bancadelasoportunidades.gov.co/sites/default/files/2026-08/presentacion-rif_2025.pdf</t>
  </si>
  <si>
    <t xml:space="preserve">Pensionados: 2.111.953 (1,75 M RPM; 0,36 M RAIS)</t>
  </si>
  <si>
    <t xml:space="preserve">Superintendencia Financiera vía Valora Analitik</t>
  </si>
  <si>
    <t xml:space="preserve">https://www.valoraanalitik.com/pensionados-colombia-reportan-importante-aumento/</t>
  </si>
  <si>
    <t xml:space="preserve">Colombia Mayor: 1,6 M beneficiarios; meta pilar solidario 3,1 M</t>
  </si>
  <si>
    <t xml:space="preserve">Prosperidad Social vía Portafolio</t>
  </si>
  <si>
    <t xml:space="preserve">https://www.portafolio.co/economia/gobierno/mayores-en-pobreza-como-la-reforma-pensional-busca-apoyar-con-un-bono-mensual-638237</t>
  </si>
  <si>
    <t xml:space="preserve">Efectivo ≈78% de las transacciones</t>
  </si>
  <si>
    <t xml:space="preserve">Banco de la República, encuesta de instrumentos de pago</t>
  </si>
  <si>
    <t xml:space="preserve">https://www.banrep.gov.co/es/estabilidad-financiera/encuesta-percepcion-uso-instrumentos-pagos/2024</t>
  </si>
  <si>
    <t xml:space="preserve">Tarjetas: 50,2 M débito y 16,7 M crédito (2025)</t>
  </si>
  <si>
    <t xml:space="preserve">SFC vía prensa</t>
  </si>
  <si>
    <t xml:space="preserve">https://www.larepublica.co/finanzas/bancos-con-mas-tarjetas-de-creditos-4084190</t>
  </si>
  <si>
    <t xml:space="preserve">Credibanco 2024: COP 130 billones procesados; ~300.000 puntos de acceso</t>
  </si>
  <si>
    <t xml:space="preserve">Portafolio (entrevista al presidente de Credibanco)</t>
  </si>
  <si>
    <t xml:space="preserve">https://www.portafolio.co/economia/finanzas/asi-se-prepara-credibanco-para-participar-en-la-implementacion-de-bre-b-625141</t>
  </si>
  <si>
    <t xml:space="preserve">Credibanco integrado a Bre-B</t>
  </si>
  <si>
    <t xml:space="preserve">Valora Analitik</t>
  </si>
  <si>
    <t xml:space="preserve">https://www.valoraanalitik.com/credibanco-se-integra-a-bre-b-el-nuevo-sistema-de-pagos-inmediatos-del-banco-de-la-republica/</t>
  </si>
  <si>
    <t xml:space="preserve">Bre-B: &gt;500 M transacciones en 5 meses</t>
  </si>
  <si>
    <t xml:space="preserve">El Tiempo (ACI Worldwide)</t>
  </si>
  <si>
    <t xml:space="preserve">https://www.eltiempo.com/economia/sector-financiero/bre-b-consolida-la-digitalizacion-financiera-y-proyecta-el-salto-hacia-pagos-transfronterizos-en-tiempo-real-3541842</t>
  </si>
  <si>
    <t xml:space="preserve">Consumo 50+ ≈ COP 121 billones/año (≈12% del PIB)</t>
  </si>
  <si>
    <t xml:space="preserve">La República / Portafolio, 2023</t>
  </si>
  <si>
    <t xml:space="preserve">https://www.larepublica.co/especiales/economia-silver/poblacion-silver-consume-al-dia-332-000-millones-y-representa-121-billones-al-ano-3687404</t>
  </si>
  <si>
    <t xml:space="preserve">AARP Global Longevity Economy Outlook (2020: US$45 billones, 34% del PIB)</t>
  </si>
  <si>
    <t xml:space="preserve">AARP, nov-2022</t>
  </si>
  <si>
    <t xml:space="preserve">https://www.aarp.org/press/releases/2022-11-10-aarp-report-finds-that-older-population-makes-significant-and-growing-contributions-to-global-economy.html</t>
  </si>
  <si>
    <t xml:space="preserve">Etapas de envejecimiento</t>
  </si>
  <si>
    <t xml:space="preserve">CEPAL</t>
  </si>
  <si>
    <t xml:space="preserve">https://www.cepal.org/es/enfoques/etapas-proceso-envejecimiento-demografico-paises-america-latina-caribe-desafios-respecto</t>
  </si>
  <si>
    <t xml:space="preserve">65+ sin pensión o bajo la línea de pobreza: 43,4% (2023)</t>
  </si>
  <si>
    <t xml:space="preserve">CEPAL, cartilla 2025</t>
  </si>
  <si>
    <t xml:space="preserve">https://www.cepal.org/sites/default/files/infographic/files/2025-cepal-cartilla-informacion-03.pdf</t>
  </si>
  <si>
    <t xml:space="preserve">IFC Silver Economy Initiative</t>
  </si>
  <si>
    <t xml:space="preserve">IFC (Grupo Banco Mundial), 2024</t>
  </si>
  <si>
    <t xml:space="preserve">https://www.ifc.org/en/pressroom/2024/ifc-launches-silver-economy-initiative-to-address-growing-underserved-population-in-latin-america-the-caribbean</t>
  </si>
  <si>
    <t xml:space="preserve">Llamadas fraudulentas afectan principalmente a adultos mayores</t>
  </si>
  <si>
    <t xml:space="preserve">Banco de Bogotá vía Portafolio</t>
  </si>
  <si>
    <t xml:space="preserve">https://www.portafolio.co/tecnologia/banco-de-bogota-advierte-sobre-el-aumento-de-fraudes-digitales-y-de-una-modalidad-de-estafa-que-esta-creciendo-501757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</si>
</sst>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"/>
    <numFmt numFmtId="168" formatCode="0.00%"/>
    <numFmt numFmtId="169" formatCode="0"/>
    <numFmt numFmtId="170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5D4B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5D4B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D4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Supuestos!$C$5</f>
        <v>8000000</v>
      </c>
      <c r="C5" s="5" t="n">
        <f aca="false">Supuestos!$D$5</f>
        <v>8000000</v>
      </c>
      <c r="D5" s="5" t="n">
        <f aca="false">Supuestos!$E$5</f>
        <v>8000000</v>
      </c>
    </row>
    <row r="6" customFormat="false" ht="15" hidden="false" customHeight="false" outlineLevel="0" collapsed="false">
      <c r="A6" s="4" t="s">
        <v>7</v>
      </c>
      <c r="B6" s="5" t="n">
        <f aca="false">Supuestos!$C$6</f>
        <v>3000000</v>
      </c>
      <c r="C6" s="5" t="n">
        <f aca="false">Supuestos!$D$6</f>
        <v>3500000</v>
      </c>
      <c r="D6" s="5" t="n">
        <f aca="false">Supuestos!$E$6</f>
        <v>4000000</v>
      </c>
    </row>
    <row r="7" customFormat="false" ht="15" hidden="false" customHeight="false" outlineLevel="0" collapsed="false">
      <c r="A7" s="4" t="s">
        <v>8</v>
      </c>
      <c r="B7" s="5" t="n">
        <f aca="false">Modelo!C4</f>
        <v>1050000</v>
      </c>
      <c r="C7" s="5" t="n">
        <f aca="false">Modelo!C22</f>
        <v>1400000</v>
      </c>
      <c r="D7" s="5" t="n">
        <f aca="false">Modelo!C40</f>
        <v>1600000</v>
      </c>
    </row>
    <row r="8" customFormat="false" ht="15" hidden="false" customHeight="false" outlineLevel="0" collapsed="false">
      <c r="A8" s="4" t="s">
        <v>9</v>
      </c>
      <c r="B8" s="5" t="n">
        <f aca="false">Modelo!E5</f>
        <v>262500</v>
      </c>
      <c r="C8" s="5" t="n">
        <f aca="false">Modelo!E23</f>
        <v>560000</v>
      </c>
      <c r="D8" s="5" t="n">
        <f aca="false">Modelo!E41</f>
        <v>800000</v>
      </c>
    </row>
    <row r="9" customFormat="false" ht="15" hidden="false" customHeight="false" outlineLevel="0" collapsed="false">
      <c r="A9" s="4" t="s">
        <v>10</v>
      </c>
      <c r="B9" s="5" t="n">
        <f aca="false">Modelo!E6</f>
        <v>26250</v>
      </c>
      <c r="C9" s="5" t="n">
        <f aca="false">Modelo!E24</f>
        <v>78400</v>
      </c>
      <c r="D9" s="5" t="n">
        <f aca="false">Modelo!E42</f>
        <v>144000</v>
      </c>
    </row>
    <row r="10" customFormat="false" ht="15" hidden="false" customHeight="false" outlineLevel="0" collapsed="false">
      <c r="A10" s="4" t="s">
        <v>11</v>
      </c>
      <c r="B10" s="5" t="n">
        <f aca="false">Modelo!E10</f>
        <v>975240000</v>
      </c>
      <c r="C10" s="5" t="n">
        <f aca="false">Modelo!E28</f>
        <v>2978304000</v>
      </c>
      <c r="D10" s="5" t="n">
        <f aca="false">Modelo!E46</f>
        <v>5713920000</v>
      </c>
    </row>
    <row r="11" customFormat="false" ht="15" hidden="false" customHeight="false" outlineLevel="0" collapsed="false">
      <c r="A11" s="4" t="s">
        <v>12</v>
      </c>
      <c r="B11" s="5" t="n">
        <f aca="false">Modelo!E14</f>
        <v>-58260000</v>
      </c>
      <c r="C11" s="5" t="n">
        <f aca="false">Modelo!E32</f>
        <v>1585984000</v>
      </c>
      <c r="D11" s="5" t="n">
        <f aca="false">Modelo!E50</f>
        <v>3862720000</v>
      </c>
    </row>
    <row r="12" customFormat="false" ht="15" hidden="false" customHeight="false" outlineLevel="0" collapsed="false">
      <c r="A12" s="4" t="s">
        <v>13</v>
      </c>
      <c r="B12" s="6" t="n">
        <f aca="false">Modelo!E15</f>
        <v>-0.05973914113449</v>
      </c>
      <c r="C12" s="6" t="n">
        <f aca="false">Modelo!E33</f>
        <v>0.532512463469142</v>
      </c>
      <c r="D12" s="6" t="n">
        <f aca="false">Modelo!E51</f>
        <v>0.676019265232975</v>
      </c>
    </row>
    <row r="13" customFormat="false" ht="15" hidden="false" customHeight="false" outlineLevel="0" collapsed="false">
      <c r="A13" s="4" t="s">
        <v>14</v>
      </c>
      <c r="B13" s="5" t="n">
        <f aca="false">Supuestos!$C$21</f>
        <v>920000000</v>
      </c>
      <c r="C13" s="5" t="n">
        <f aca="false">Supuestos!$D$21</f>
        <v>800000000</v>
      </c>
      <c r="D13" s="5" t="n">
        <f aca="false">Supuestos!$E$21</f>
        <v>720000000</v>
      </c>
    </row>
    <row r="14" customFormat="false" ht="15" hidden="false" customHeight="false" outlineLevel="0" collapsed="false">
      <c r="A14" s="4" t="s">
        <v>15</v>
      </c>
      <c r="B14" s="5" t="n">
        <f aca="false">Modelo!E18</f>
        <v>-1581148320</v>
      </c>
      <c r="C14" s="5" t="n">
        <f aca="false">Modelo!E36</f>
        <v>1194560000</v>
      </c>
      <c r="D14" s="5" t="n">
        <f aca="false">Modelo!E54</f>
        <v>4689552000</v>
      </c>
    </row>
    <row r="15" customFormat="false" ht="15" hidden="false" customHeight="false" outlineLevel="0" collapsed="false">
      <c r="A15" s="7" t="s">
        <v>16</v>
      </c>
      <c r="B15" s="8" t="n">
        <f aca="false">(SUM(Modelo!C14:E14)-Supuestos!$C$21)/Supuestos!$C$21</f>
        <v>-1.71863947826087</v>
      </c>
      <c r="C15" s="8" t="n">
        <f aca="false">(SUM(Modelo!C32:E32)-Supuestos!$D$21)/Supuestos!$D$21</f>
        <v>1.4932</v>
      </c>
      <c r="D15" s="8" t="n">
        <f aca="false">(SUM(Modelo!C50:E50)-Supuestos!$E$21)/Supuestos!$E$21</f>
        <v>6.51326666666667</v>
      </c>
    </row>
    <row r="16" customFormat="false" ht="15" hidden="false" customHeight="false" outlineLevel="0" collapsed="false">
      <c r="A16" s="7" t="s">
        <v>17</v>
      </c>
      <c r="B16" s="9" t="n">
        <f aca="false">SUM(Modelo!C19:E19)</f>
        <v>-1325761480.20054</v>
      </c>
      <c r="C16" s="9" t="n">
        <f aca="false">SUM(Modelo!C37:E37)</f>
        <v>633072908.687433</v>
      </c>
      <c r="D16" s="9" t="n">
        <f aca="false">SUM(Modelo!C55:E55)</f>
        <v>3070835959.56275</v>
      </c>
    </row>
    <row r="17" customFormat="false" ht="15" hidden="false" customHeight="false" outlineLevel="0" collapsed="false">
      <c r="A17" s="4" t="s">
        <v>18</v>
      </c>
      <c r="B17" s="8" t="str">
        <f aca="false">IFERROR(IRR(Modelo!C17:E17),"n.a.")</f>
        <v>n.a.</v>
      </c>
      <c r="C17" s="8" t="n">
        <f aca="false">IFERROR(IRR(Modelo!C35:E35),"n.a.")</f>
        <v>0.598768719756253</v>
      </c>
      <c r="D17" s="8" t="n">
        <f aca="false">IFERROR(IRR(Modelo!C53:E53),"n.a.")</f>
        <v>2.3745584367715</v>
      </c>
    </row>
    <row r="18" customFormat="false" ht="15" hidden="false" customHeight="false" outlineLevel="0" collapsed="false">
      <c r="A18" s="7" t="s">
        <v>19</v>
      </c>
      <c r="B18" s="10" t="str">
        <f aca="false">IF(Modelo!E18&lt;0,"No recupera en 36",IF(Modelo!D18&gt;=0,12+12*(-Modelo!C18)/Modelo!D17,24+12*(-Modelo!D18)/Modelo!E17))</f>
        <v>No recupera en 36</v>
      </c>
      <c r="C18" s="10" t="n">
        <f aca="false">IF(Modelo!E36&lt;0,"No recupera en 36",IF(Modelo!D36&gt;=0,12+12*(-Modelo!C36)/Modelo!D35,24+12*(-Modelo!D36)/Modelo!E35))</f>
        <v>26.9616238247044</v>
      </c>
      <c r="D18" s="10" t="n">
        <f aca="false">IF(Modelo!E54&lt;0,"No recupera en 36",IF(Modelo!D54&gt;=0,12+12*(-Modelo!C54)/Modelo!D53,24+12*(-Modelo!D54)/Modelo!E53))</f>
        <v>18.0123976517843</v>
      </c>
    </row>
    <row r="19" customFormat="false" ht="15" hidden="false" customHeight="false" outlineLevel="0" collapsed="false">
      <c r="A19" s="4" t="s">
        <v>20</v>
      </c>
      <c r="B19" s="9" t="n">
        <f aca="false">Supuestos!$C$24/((Supuestos!$C$14-Supuestos!$C$19)*12+Supuestos!$C$13*((Supuestos!$C$15-Supuestos!$C$20)*12+Supuestos!$C$16*Supuestos!$C$17*12*Supuestos!$C$18))</f>
        <v>284608.378870674</v>
      </c>
      <c r="C19" s="9" t="n">
        <f aca="false">Supuestos!$D$24/((Supuestos!$D$14-Supuestos!$D$19)*12+Supuestos!$D$13*((Supuestos!$D$15-Supuestos!$D$20)*12+Supuestos!$D$16*Supuestos!$D$17*12*Supuestos!$D$18))</f>
        <v>168050.612890471</v>
      </c>
      <c r="D19" s="9" t="n">
        <f aca="false">Supuestos!$E$24/((Supuestos!$E$14-Supuestos!$E$19)*12+Supuestos!$E$13*((Supuestos!$E$15-Supuestos!$E$20)*12+Supuestos!$E$16*Supuestos!$E$17*12*Supuestos!$E$18))</f>
        <v>119752.042828966</v>
      </c>
    </row>
    <row r="20" customFormat="false" ht="15" hidden="false" customHeight="false" outlineLevel="0" collapsed="false">
      <c r="A20" s="4" t="s">
        <v>21</v>
      </c>
      <c r="B20" s="8" t="n">
        <f aca="false">B19/B7</f>
        <v>0.271055598924451</v>
      </c>
      <c r="C20" s="8" t="n">
        <f aca="false">C19/C7</f>
        <v>0.120036152064622</v>
      </c>
      <c r="D20" s="8" t="n">
        <f aca="false">D19/D7</f>
        <v>0.0748450267681037</v>
      </c>
    </row>
    <row r="21" customFormat="false" ht="15" hidden="false" customHeight="false" outlineLevel="0" collapsed="false">
      <c r="A21" s="4" t="s">
        <v>22</v>
      </c>
      <c r="B21" s="9" t="n">
        <f aca="false">Supuestos!$C$14-SUM(Modelo!C19:E19)/(Modelo!C5*Supuestos!$C$25/(1+Supuestos!$C$28)^1+Modelo!D5*Supuestos!$C$26/(1+Supuestos!$C$28)^2+Modelo!E5*Supuestos!$C$27/(1+Supuestos!$C$28)^3)</f>
        <v>567.261914543085</v>
      </c>
      <c r="C21" s="9" t="n">
        <f aca="false">Supuestos!$D$14-SUM(Modelo!C37:E37)/(Modelo!C23*Supuestos!$D$25/(1+Supuestos!$D$28)^1+Modelo!D23*Supuestos!$D$26/(1+Supuestos!$D$28)^2+Modelo!E23*Supuestos!$D$27/(1+Supuestos!$D$28)^3)</f>
        <v>169.22814358699</v>
      </c>
      <c r="D21" s="9" t="n">
        <f aca="false">Supuestos!$E$14-SUM(Modelo!C55:E55)/(Modelo!C41*Supuestos!$E$25/(1+Supuestos!$E$28)^1+Modelo!D41*Supuestos!$E$26/(1+Supuestos!$E$28)^2+Modelo!E41*Supuestos!$E$27/(1+Supuestos!$E$28)^3)</f>
        <v>23.6657901961527</v>
      </c>
    </row>
    <row r="23" customFormat="false" ht="15" hidden="false" customHeight="false" outlineLevel="0" collapsed="false">
      <c r="A23" s="7" t="s">
        <v>23</v>
      </c>
      <c r="C23" s="11" t="n">
        <f aca="false">0.25*B16+0.5*C16+0.25*D16</f>
        <v>752805074.184269</v>
      </c>
    </row>
    <row r="24" customFormat="false" ht="15" hidden="false" customHeight="false" outlineLevel="0" collapsed="false">
      <c r="A24" s="4" t="s">
        <v>24</v>
      </c>
      <c r="B24" s="11" t="n">
        <f aca="false">Supuestos!$C$21+Supuestos!$C$22/5</f>
        <v>980000000</v>
      </c>
      <c r="C24" s="11" t="n">
        <f aca="false">Supuestos!$D$21+Supuestos!$D$22/5</f>
        <v>854000000</v>
      </c>
      <c r="D24" s="11" t="n">
        <f aca="false">Supuestos!$E$21+Supuestos!$E$22/5</f>
        <v>774000000</v>
      </c>
    </row>
    <row r="26" customFormat="false" ht="15" hidden="false" customHeight="false" outlineLevel="0" collapsed="false">
      <c r="A26" s="12" t="s">
        <v>25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5" min="3" style="0" width="15"/>
    <col collapsed="false" customWidth="true" hidden="false" outlineLevel="0" max="6" min="6" style="0" width="90"/>
  </cols>
  <sheetData>
    <row r="1" customFormat="false" ht="16.15" hidden="false" customHeight="false" outlineLevel="0" collapsed="false">
      <c r="A1" s="1" t="s">
        <v>26</v>
      </c>
    </row>
    <row r="2" customFormat="false" ht="30" hidden="false" customHeight="true" outlineLevel="0" collapsed="false">
      <c r="A2" s="2" t="s">
        <v>27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</v>
      </c>
      <c r="D4" s="3" t="s">
        <v>4</v>
      </c>
      <c r="E4" s="3" t="s">
        <v>5</v>
      </c>
      <c r="F4" s="3" t="s">
        <v>30</v>
      </c>
    </row>
    <row r="5" customFormat="false" ht="22.35" hidden="false" customHeight="false" outlineLevel="0" collapsed="false">
      <c r="A5" s="4" t="s">
        <v>31</v>
      </c>
      <c r="B5" s="13" t="s">
        <v>32</v>
      </c>
      <c r="C5" s="14" t="n">
        <v>8000000</v>
      </c>
      <c r="D5" s="14" t="n">
        <v>8000000</v>
      </c>
      <c r="E5" s="14" t="n">
        <v>8000000</v>
      </c>
      <c r="F5" s="15" t="s">
        <v>33</v>
      </c>
    </row>
    <row r="6" customFormat="false" ht="22.35" hidden="false" customHeight="false" outlineLevel="0" collapsed="false">
      <c r="A6" s="4" t="s">
        <v>34</v>
      </c>
      <c r="B6" s="13" t="s">
        <v>32</v>
      </c>
      <c r="C6" s="16" t="n">
        <v>3000000</v>
      </c>
      <c r="D6" s="16" t="n">
        <v>3500000</v>
      </c>
      <c r="E6" s="16" t="n">
        <v>4000000</v>
      </c>
      <c r="F6" s="15" t="s">
        <v>35</v>
      </c>
    </row>
    <row r="7" customFormat="false" ht="15" hidden="false" customHeight="false" outlineLevel="0" collapsed="false">
      <c r="A7" s="4" t="s">
        <v>36</v>
      </c>
      <c r="B7" s="13" t="s">
        <v>37</v>
      </c>
      <c r="C7" s="17" t="n">
        <v>0.35</v>
      </c>
      <c r="D7" s="17" t="n">
        <v>0.4</v>
      </c>
      <c r="E7" s="17" t="n">
        <v>0.4</v>
      </c>
      <c r="F7" s="15" t="s">
        <v>38</v>
      </c>
    </row>
    <row r="8" customFormat="false" ht="15" hidden="false" customHeight="false" outlineLevel="0" collapsed="false">
      <c r="A8" s="4" t="s">
        <v>39</v>
      </c>
      <c r="B8" s="13" t="s">
        <v>37</v>
      </c>
      <c r="C8" s="18" t="n">
        <v>0.03</v>
      </c>
      <c r="D8" s="18" t="n">
        <v>0.05</v>
      </c>
      <c r="E8" s="18" t="n">
        <v>0.08</v>
      </c>
      <c r="F8" s="15" t="s">
        <v>40</v>
      </c>
    </row>
    <row r="9" customFormat="false" ht="15" hidden="false" customHeight="false" outlineLevel="0" collapsed="false">
      <c r="A9" s="4" t="s">
        <v>41</v>
      </c>
      <c r="B9" s="13" t="s">
        <v>37</v>
      </c>
      <c r="C9" s="17" t="n">
        <v>0.15</v>
      </c>
      <c r="D9" s="17" t="n">
        <v>0.25</v>
      </c>
      <c r="E9" s="17" t="n">
        <v>0.3</v>
      </c>
      <c r="F9" s="15" t="s">
        <v>42</v>
      </c>
    </row>
    <row r="10" customFormat="false" ht="15" hidden="false" customHeight="false" outlineLevel="0" collapsed="false">
      <c r="A10" s="4" t="s">
        <v>43</v>
      </c>
      <c r="B10" s="13" t="s">
        <v>37</v>
      </c>
      <c r="C10" s="17" t="n">
        <v>0.25</v>
      </c>
      <c r="D10" s="17" t="n">
        <v>0.4</v>
      </c>
      <c r="E10" s="17" t="n">
        <v>0.5</v>
      </c>
      <c r="F10" s="15"/>
    </row>
    <row r="11" customFormat="false" ht="15" hidden="false" customHeight="false" outlineLevel="0" collapsed="false">
      <c r="A11" s="4" t="s">
        <v>44</v>
      </c>
      <c r="B11" s="13" t="s">
        <v>37</v>
      </c>
      <c r="C11" s="18" t="n">
        <v>0.03</v>
      </c>
      <c r="D11" s="18" t="n">
        <v>0.04</v>
      </c>
      <c r="E11" s="18" t="n">
        <v>0.05</v>
      </c>
      <c r="F11" s="15" t="s">
        <v>45</v>
      </c>
    </row>
    <row r="12" customFormat="false" ht="15" hidden="false" customHeight="false" outlineLevel="0" collapsed="false">
      <c r="A12" s="4" t="s">
        <v>46</v>
      </c>
      <c r="B12" s="13" t="s">
        <v>37</v>
      </c>
      <c r="C12" s="18" t="n">
        <v>0.07</v>
      </c>
      <c r="D12" s="18" t="n">
        <v>0.1</v>
      </c>
      <c r="E12" s="18" t="n">
        <v>0.12</v>
      </c>
      <c r="F12" s="15"/>
    </row>
    <row r="13" customFormat="false" ht="15" hidden="false" customHeight="false" outlineLevel="0" collapsed="false">
      <c r="A13" s="4" t="s">
        <v>47</v>
      </c>
      <c r="B13" s="13" t="s">
        <v>37</v>
      </c>
      <c r="C13" s="18" t="n">
        <v>0.1</v>
      </c>
      <c r="D13" s="18" t="n">
        <v>0.14</v>
      </c>
      <c r="E13" s="18" t="n">
        <v>0.18</v>
      </c>
      <c r="F13" s="15"/>
    </row>
    <row r="14" customFormat="false" ht="22.35" hidden="false" customHeight="false" outlineLevel="0" collapsed="false">
      <c r="A14" s="4" t="s">
        <v>48</v>
      </c>
      <c r="B14" s="13" t="s">
        <v>49</v>
      </c>
      <c r="C14" s="16" t="n">
        <v>200</v>
      </c>
      <c r="D14" s="16" t="n">
        <v>250</v>
      </c>
      <c r="E14" s="16" t="n">
        <v>300</v>
      </c>
      <c r="F14" s="15" t="s">
        <v>50</v>
      </c>
    </row>
    <row r="15" customFormat="false" ht="15" hidden="false" customHeight="false" outlineLevel="0" collapsed="false">
      <c r="A15" s="4" t="s">
        <v>51</v>
      </c>
      <c r="B15" s="13" t="s">
        <v>52</v>
      </c>
      <c r="C15" s="16" t="n">
        <v>1000</v>
      </c>
      <c r="D15" s="16" t="n">
        <v>1200</v>
      </c>
      <c r="E15" s="16" t="n">
        <v>1400</v>
      </c>
      <c r="F15" s="15" t="s">
        <v>53</v>
      </c>
    </row>
    <row r="16" customFormat="false" ht="15" hidden="false" customHeight="false" outlineLevel="0" collapsed="false">
      <c r="A16" s="4" t="s">
        <v>54</v>
      </c>
      <c r="B16" s="13" t="s">
        <v>55</v>
      </c>
      <c r="C16" s="14" t="n">
        <v>600000</v>
      </c>
      <c r="D16" s="14" t="n">
        <v>600000</v>
      </c>
      <c r="E16" s="14" t="n">
        <v>600000</v>
      </c>
      <c r="F16" s="15" t="s">
        <v>56</v>
      </c>
    </row>
    <row r="17" customFormat="false" ht="15" hidden="false" customHeight="false" outlineLevel="0" collapsed="false">
      <c r="A17" s="4" t="s">
        <v>57</v>
      </c>
      <c r="B17" s="13" t="s">
        <v>37</v>
      </c>
      <c r="C17" s="18" t="n">
        <v>0.08</v>
      </c>
      <c r="D17" s="18" t="n">
        <v>0.15</v>
      </c>
      <c r="E17" s="18" t="n">
        <v>0.2</v>
      </c>
      <c r="F17" s="15" t="s">
        <v>58</v>
      </c>
    </row>
    <row r="18" customFormat="false" ht="15" hidden="false" customHeight="false" outlineLevel="0" collapsed="false">
      <c r="A18" s="4" t="s">
        <v>59</v>
      </c>
      <c r="B18" s="13" t="s">
        <v>37</v>
      </c>
      <c r="C18" s="19" t="n">
        <v>0.002</v>
      </c>
      <c r="D18" s="19" t="n">
        <v>0.002</v>
      </c>
      <c r="E18" s="19" t="n">
        <v>0.002</v>
      </c>
      <c r="F18" s="15" t="s">
        <v>60</v>
      </c>
    </row>
    <row r="19" customFormat="false" ht="15" hidden="false" customHeight="false" outlineLevel="0" collapsed="false">
      <c r="A19" s="4" t="s">
        <v>61</v>
      </c>
      <c r="B19" s="13" t="s">
        <v>49</v>
      </c>
      <c r="C19" s="14" t="n">
        <v>50</v>
      </c>
      <c r="D19" s="14" t="n">
        <v>50</v>
      </c>
      <c r="E19" s="14" t="n">
        <v>50</v>
      </c>
      <c r="F19" s="15" t="s">
        <v>62</v>
      </c>
    </row>
    <row r="20" customFormat="false" ht="15" hidden="false" customHeight="false" outlineLevel="0" collapsed="false">
      <c r="A20" s="4" t="s">
        <v>63</v>
      </c>
      <c r="B20" s="13" t="s">
        <v>52</v>
      </c>
      <c r="C20" s="14" t="n">
        <v>400</v>
      </c>
      <c r="D20" s="14" t="n">
        <v>400</v>
      </c>
      <c r="E20" s="14" t="n">
        <v>400</v>
      </c>
      <c r="F20" s="15" t="s">
        <v>64</v>
      </c>
    </row>
    <row r="21" customFormat="false" ht="15" hidden="false" customHeight="false" outlineLevel="0" collapsed="false">
      <c r="A21" s="4" t="s">
        <v>65</v>
      </c>
      <c r="B21" s="13" t="s">
        <v>66</v>
      </c>
      <c r="C21" s="16" t="n">
        <v>920000000</v>
      </c>
      <c r="D21" s="16" t="n">
        <v>800000000</v>
      </c>
      <c r="E21" s="16" t="n">
        <v>720000000</v>
      </c>
      <c r="F21" s="15" t="s">
        <v>67</v>
      </c>
    </row>
    <row r="22" customFormat="false" ht="15" hidden="false" customHeight="false" outlineLevel="0" collapsed="false">
      <c r="A22" s="4" t="s">
        <v>68</v>
      </c>
      <c r="B22" s="13" t="s">
        <v>66</v>
      </c>
      <c r="C22" s="14" t="n">
        <v>300000000</v>
      </c>
      <c r="D22" s="14" t="n">
        <v>270000000</v>
      </c>
      <c r="E22" s="14" t="n">
        <v>270000000</v>
      </c>
      <c r="F22" s="15" t="s">
        <v>69</v>
      </c>
    </row>
    <row r="23" customFormat="false" ht="15" hidden="false" customHeight="false" outlineLevel="0" collapsed="false">
      <c r="A23" s="4" t="s">
        <v>70</v>
      </c>
      <c r="B23" s="13" t="s">
        <v>66</v>
      </c>
      <c r="C23" s="14" t="n">
        <v>700000000</v>
      </c>
      <c r="D23" s="14" t="n">
        <v>640000000</v>
      </c>
      <c r="E23" s="14" t="n">
        <v>640000000</v>
      </c>
      <c r="F23" s="15"/>
    </row>
    <row r="24" customFormat="false" ht="15" hidden="false" customHeight="false" outlineLevel="0" collapsed="false">
      <c r="A24" s="4" t="s">
        <v>71</v>
      </c>
      <c r="B24" s="13" t="s">
        <v>66</v>
      </c>
      <c r="C24" s="14" t="n">
        <v>750000000</v>
      </c>
      <c r="D24" s="14" t="n">
        <v>680000000</v>
      </c>
      <c r="E24" s="14" t="n">
        <v>680000000</v>
      </c>
      <c r="F24" s="15"/>
    </row>
    <row r="25" customFormat="false" ht="15" hidden="false" customHeight="false" outlineLevel="0" collapsed="false">
      <c r="A25" s="4" t="s">
        <v>72</v>
      </c>
      <c r="B25" s="13" t="s">
        <v>73</v>
      </c>
      <c r="C25" s="20" t="n">
        <v>4</v>
      </c>
      <c r="D25" s="20" t="n">
        <v>4</v>
      </c>
      <c r="E25" s="20" t="n">
        <v>4</v>
      </c>
      <c r="F25" s="15" t="s">
        <v>74</v>
      </c>
    </row>
    <row r="26" customFormat="false" ht="15" hidden="false" customHeight="false" outlineLevel="0" collapsed="false">
      <c r="A26" s="4" t="s">
        <v>75</v>
      </c>
      <c r="B26" s="13" t="s">
        <v>73</v>
      </c>
      <c r="C26" s="20" t="n">
        <v>12</v>
      </c>
      <c r="D26" s="20" t="n">
        <v>12</v>
      </c>
      <c r="E26" s="20" t="n">
        <v>12</v>
      </c>
      <c r="F26" s="15"/>
    </row>
    <row r="27" customFormat="false" ht="15" hidden="false" customHeight="false" outlineLevel="0" collapsed="false">
      <c r="A27" s="4" t="s">
        <v>76</v>
      </c>
      <c r="B27" s="13" t="s">
        <v>73</v>
      </c>
      <c r="C27" s="20" t="n">
        <v>12</v>
      </c>
      <c r="D27" s="20" t="n">
        <v>12</v>
      </c>
      <c r="E27" s="20" t="n">
        <v>12</v>
      </c>
      <c r="F27" s="15"/>
    </row>
    <row r="28" customFormat="false" ht="15" hidden="false" customHeight="false" outlineLevel="0" collapsed="false">
      <c r="A28" s="4" t="s">
        <v>77</v>
      </c>
      <c r="B28" s="13" t="s">
        <v>37</v>
      </c>
      <c r="C28" s="18" t="n">
        <v>0.15</v>
      </c>
      <c r="D28" s="18" t="n">
        <v>0.15</v>
      </c>
      <c r="E28" s="18" t="n">
        <v>0.15</v>
      </c>
      <c r="F28" s="15" t="s">
        <v>78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1" t="s">
        <v>79</v>
      </c>
    </row>
    <row r="3" customFormat="false" ht="15" hidden="false" customHeight="false" outlineLevel="0" collapsed="false">
      <c r="A3" s="21" t="s">
        <v>80</v>
      </c>
      <c r="B3" s="22"/>
      <c r="C3" s="23" t="s">
        <v>81</v>
      </c>
      <c r="D3" s="23" t="s">
        <v>82</v>
      </c>
      <c r="E3" s="23" t="s">
        <v>83</v>
      </c>
    </row>
    <row r="4" customFormat="false" ht="15" hidden="false" customHeight="false" outlineLevel="0" collapsed="false">
      <c r="A4" s="4" t="s">
        <v>8</v>
      </c>
      <c r="C4" s="9" t="n">
        <f aca="false">Supuestos!$C$6*Supuestos!$C$7</f>
        <v>1050000</v>
      </c>
      <c r="D4" s="9" t="n">
        <f aca="false">Supuestos!$C$6*Supuestos!$C$7</f>
        <v>1050000</v>
      </c>
      <c r="E4" s="9" t="n">
        <f aca="false">Supuestos!$C$6*Supuestos!$C$7</f>
        <v>1050000</v>
      </c>
    </row>
    <row r="5" customFormat="false" ht="15" hidden="false" customHeight="false" outlineLevel="0" collapsed="false">
      <c r="A5" s="4" t="s">
        <v>84</v>
      </c>
      <c r="C5" s="9" t="n">
        <f aca="false">C4*Supuestos!$C$8</f>
        <v>31500</v>
      </c>
      <c r="D5" s="9" t="n">
        <f aca="false">D4*Supuestos!$C$9</f>
        <v>157500</v>
      </c>
      <c r="E5" s="9" t="n">
        <f aca="false">E4*Supuestos!$C$10</f>
        <v>262500</v>
      </c>
    </row>
    <row r="6" customFormat="false" ht="15" hidden="false" customHeight="false" outlineLevel="0" collapsed="false">
      <c r="A6" s="4" t="s">
        <v>85</v>
      </c>
      <c r="C6" s="9" t="n">
        <f aca="false">C5*Supuestos!$C$11</f>
        <v>945</v>
      </c>
      <c r="D6" s="9" t="n">
        <f aca="false">D5*Supuestos!$C$12</f>
        <v>11025</v>
      </c>
      <c r="E6" s="9" t="n">
        <f aca="false">E5*Supuestos!$C$13</f>
        <v>26250</v>
      </c>
    </row>
    <row r="7" customFormat="false" ht="15" hidden="false" customHeight="false" outlineLevel="0" collapsed="false">
      <c r="A7" s="4" t="s">
        <v>86</v>
      </c>
      <c r="C7" s="9" t="n">
        <f aca="false">C5*Supuestos!$C$14*Supuestos!$C$25</f>
        <v>25200000</v>
      </c>
      <c r="D7" s="9" t="n">
        <f aca="false">D5*Supuestos!$C$14*Supuestos!$C$26</f>
        <v>378000000</v>
      </c>
      <c r="E7" s="9" t="n">
        <f aca="false">E5*Supuestos!$C$14*Supuestos!$C$27</f>
        <v>630000000</v>
      </c>
    </row>
    <row r="8" customFormat="false" ht="15" hidden="false" customHeight="false" outlineLevel="0" collapsed="false">
      <c r="A8" s="4" t="s">
        <v>87</v>
      </c>
      <c r="C8" s="9" t="n">
        <f aca="false">C6*Supuestos!$C$15*Supuestos!$C$25</f>
        <v>3780000</v>
      </c>
      <c r="D8" s="9" t="n">
        <f aca="false">D6*Supuestos!$C$15*Supuestos!$C$26</f>
        <v>132300000</v>
      </c>
      <c r="E8" s="9" t="n">
        <f aca="false">E6*Supuestos!$C$15*Supuestos!$C$27</f>
        <v>315000000</v>
      </c>
    </row>
    <row r="9" customFormat="false" ht="15" hidden="false" customHeight="false" outlineLevel="0" collapsed="false">
      <c r="A9" s="4" t="s">
        <v>88</v>
      </c>
      <c r="C9" s="9" t="n">
        <f aca="false">C6*Supuestos!$C$16*Supuestos!$C$17*Supuestos!$C$25*Supuestos!$C$18</f>
        <v>362880</v>
      </c>
      <c r="D9" s="9" t="n">
        <f aca="false">D6*Supuestos!$C$16*Supuestos!$C$17*Supuestos!$C$26*Supuestos!$C$18</f>
        <v>12700800</v>
      </c>
      <c r="E9" s="9" t="n">
        <f aca="false">E6*Supuestos!$C$16*Supuestos!$C$17*Supuestos!$C$27*Supuestos!$C$18</f>
        <v>30240000</v>
      </c>
    </row>
    <row r="10" customFormat="false" ht="15" hidden="false" customHeight="false" outlineLevel="0" collapsed="false">
      <c r="A10" s="7" t="s">
        <v>89</v>
      </c>
      <c r="C10" s="24" t="n">
        <f aca="false">SUM(C7:C9)</f>
        <v>29342880</v>
      </c>
      <c r="D10" s="24" t="n">
        <f aca="false">SUM(D7:D9)</f>
        <v>523000800</v>
      </c>
      <c r="E10" s="24" t="n">
        <f aca="false">SUM(E7:E9)</f>
        <v>975240000</v>
      </c>
    </row>
    <row r="11" customFormat="false" ht="15" hidden="false" customHeight="false" outlineLevel="0" collapsed="false">
      <c r="A11" s="4" t="s">
        <v>90</v>
      </c>
      <c r="C11" s="9" t="n">
        <f aca="false">C5*Supuestos!$C$19*Supuestos!$C$25+C6*Supuestos!$C$20*Supuestos!$C$25</f>
        <v>7812000</v>
      </c>
      <c r="D11" s="9" t="n">
        <f aca="false">D5*Supuestos!$C$19*Supuestos!$C$26+D6*Supuestos!$C$20*Supuestos!$C$26</f>
        <v>147420000</v>
      </c>
      <c r="E11" s="9" t="n">
        <f aca="false">E5*Supuestos!$C$19*Supuestos!$C$27+E6*Supuestos!$C$20*Supuestos!$C$27</f>
        <v>283500000</v>
      </c>
    </row>
    <row r="12" customFormat="false" ht="15" hidden="false" customHeight="false" outlineLevel="0" collapsed="false">
      <c r="A12" s="4" t="s">
        <v>91</v>
      </c>
      <c r="C12" s="9" t="n">
        <f aca="false">C10-C11</f>
        <v>21530880</v>
      </c>
      <c r="D12" s="9" t="n">
        <f aca="false">D10-D11</f>
        <v>375580800</v>
      </c>
      <c r="E12" s="9" t="n">
        <f aca="false">E10-E11</f>
        <v>691740000</v>
      </c>
    </row>
    <row r="13" customFormat="false" ht="15" hidden="false" customHeight="false" outlineLevel="0" collapsed="false">
      <c r="A13" s="4" t="s">
        <v>92</v>
      </c>
      <c r="C13" s="9" t="n">
        <f aca="false">Supuestos!$C$22</f>
        <v>300000000</v>
      </c>
      <c r="D13" s="9" t="n">
        <f aca="false">Supuestos!$C$23</f>
        <v>700000000</v>
      </c>
      <c r="E13" s="9" t="n">
        <f aca="false">Supuestos!$C$24</f>
        <v>750000000</v>
      </c>
    </row>
    <row r="14" customFormat="false" ht="15" hidden="false" customHeight="false" outlineLevel="0" collapsed="false">
      <c r="A14" s="7" t="s">
        <v>93</v>
      </c>
      <c r="C14" s="24" t="n">
        <f aca="false">C12-C13</f>
        <v>-278469120</v>
      </c>
      <c r="D14" s="24" t="n">
        <f aca="false">D12-D13</f>
        <v>-324419200</v>
      </c>
      <c r="E14" s="24" t="n">
        <f aca="false">E12-E13</f>
        <v>-58260000</v>
      </c>
    </row>
    <row r="15" customFormat="false" ht="15" hidden="false" customHeight="false" outlineLevel="0" collapsed="false">
      <c r="A15" s="4" t="s">
        <v>94</v>
      </c>
      <c r="C15" s="8" t="n">
        <f aca="false">IF(C10=0,0,C14/C10)</f>
        <v>-9.49017683335787</v>
      </c>
      <c r="D15" s="8" t="n">
        <f aca="false">IF(D10=0,0,D14/D10)</f>
        <v>-0.620303448866617</v>
      </c>
      <c r="E15" s="8" t="n">
        <f aca="false">IF(E10=0,0,E14/E10)</f>
        <v>-0.05973914113449</v>
      </c>
    </row>
    <row r="16" customFormat="false" ht="15" hidden="false" customHeight="false" outlineLevel="0" collapsed="false">
      <c r="A16" s="4" t="s">
        <v>95</v>
      </c>
      <c r="C16" s="9" t="n">
        <f aca="false">Supuestos!$C$21</f>
        <v>920000000</v>
      </c>
      <c r="D16" s="9" t="n">
        <f aca="false">0</f>
        <v>0</v>
      </c>
      <c r="E16" s="9" t="n">
        <f aca="false">0</f>
        <v>0</v>
      </c>
    </row>
    <row r="17" customFormat="false" ht="15" hidden="false" customHeight="false" outlineLevel="0" collapsed="false">
      <c r="A17" s="7" t="s">
        <v>96</v>
      </c>
      <c r="C17" s="24" t="n">
        <f aca="false">C14-C16</f>
        <v>-1198469120</v>
      </c>
      <c r="D17" s="24" t="n">
        <f aca="false">D14-D16</f>
        <v>-324419200</v>
      </c>
      <c r="E17" s="24" t="n">
        <f aca="false">E14-E16</f>
        <v>-58260000</v>
      </c>
    </row>
    <row r="18" customFormat="false" ht="15" hidden="false" customHeight="false" outlineLevel="0" collapsed="false">
      <c r="A18" s="4" t="s">
        <v>97</v>
      </c>
      <c r="C18" s="9" t="n">
        <f aca="false">C17</f>
        <v>-1198469120</v>
      </c>
      <c r="D18" s="9" t="n">
        <f aca="false">C18+D17</f>
        <v>-1522888320</v>
      </c>
      <c r="E18" s="9" t="n">
        <f aca="false">D18+E17</f>
        <v>-1581148320</v>
      </c>
    </row>
    <row r="19" customFormat="false" ht="15" hidden="false" customHeight="false" outlineLevel="0" collapsed="false">
      <c r="A19" s="4" t="s">
        <v>98</v>
      </c>
      <c r="C19" s="9" t="n">
        <f aca="false">C17/(1+Supuestos!$C$28)^1</f>
        <v>-1042147060.86957</v>
      </c>
      <c r="D19" s="9" t="n">
        <f aca="false">D17/(1+Supuestos!$C$28)^2</f>
        <v>-245307523.62949</v>
      </c>
      <c r="E19" s="9" t="n">
        <f aca="false">E17/(1+Supuestos!$C$28)^3</f>
        <v>-38306895.7014876</v>
      </c>
    </row>
    <row r="21" customFormat="false" ht="15" hidden="false" customHeight="false" outlineLevel="0" collapsed="false">
      <c r="A21" s="21" t="s">
        <v>99</v>
      </c>
      <c r="B21" s="22"/>
      <c r="C21" s="23" t="s">
        <v>81</v>
      </c>
      <c r="D21" s="23" t="s">
        <v>82</v>
      </c>
      <c r="E21" s="23" t="s">
        <v>83</v>
      </c>
    </row>
    <row r="22" customFormat="false" ht="15" hidden="false" customHeight="false" outlineLevel="0" collapsed="false">
      <c r="A22" s="4" t="s">
        <v>8</v>
      </c>
      <c r="C22" s="9" t="n">
        <f aca="false">Supuestos!$D$6*Supuestos!$D$7</f>
        <v>1400000</v>
      </c>
      <c r="D22" s="9" t="n">
        <f aca="false">Supuestos!$D$6*Supuestos!$D$7</f>
        <v>1400000</v>
      </c>
      <c r="E22" s="9" t="n">
        <f aca="false">Supuestos!$D$6*Supuestos!$D$7</f>
        <v>1400000</v>
      </c>
    </row>
    <row r="23" customFormat="false" ht="15" hidden="false" customHeight="false" outlineLevel="0" collapsed="false">
      <c r="A23" s="4" t="s">
        <v>84</v>
      </c>
      <c r="C23" s="9" t="n">
        <f aca="false">C22*Supuestos!$D$8</f>
        <v>70000</v>
      </c>
      <c r="D23" s="9" t="n">
        <f aca="false">D22*Supuestos!$D$9</f>
        <v>350000</v>
      </c>
      <c r="E23" s="9" t="n">
        <f aca="false">E22*Supuestos!$D$10</f>
        <v>560000</v>
      </c>
    </row>
    <row r="24" customFormat="false" ht="15" hidden="false" customHeight="false" outlineLevel="0" collapsed="false">
      <c r="A24" s="4" t="s">
        <v>85</v>
      </c>
      <c r="C24" s="9" t="n">
        <f aca="false">C23*Supuestos!$D$11</f>
        <v>2800</v>
      </c>
      <c r="D24" s="9" t="n">
        <f aca="false">D23*Supuestos!$D$12</f>
        <v>35000</v>
      </c>
      <c r="E24" s="9" t="n">
        <f aca="false">E23*Supuestos!$D$13</f>
        <v>78400</v>
      </c>
    </row>
    <row r="25" customFormat="false" ht="15" hidden="false" customHeight="false" outlineLevel="0" collapsed="false">
      <c r="A25" s="4" t="s">
        <v>86</v>
      </c>
      <c r="C25" s="9" t="n">
        <f aca="false">C23*Supuestos!$D$14*Supuestos!$D$25</f>
        <v>70000000</v>
      </c>
      <c r="D25" s="9" t="n">
        <f aca="false">D23*Supuestos!$D$14*Supuestos!$D$26</f>
        <v>1050000000</v>
      </c>
      <c r="E25" s="9" t="n">
        <f aca="false">E23*Supuestos!$D$14*Supuestos!$D$27</f>
        <v>1680000000</v>
      </c>
    </row>
    <row r="26" customFormat="false" ht="15" hidden="false" customHeight="false" outlineLevel="0" collapsed="false">
      <c r="A26" s="4" t="s">
        <v>87</v>
      </c>
      <c r="C26" s="9" t="n">
        <f aca="false">C24*Supuestos!$D$15*Supuestos!$D$25</f>
        <v>13440000</v>
      </c>
      <c r="D26" s="9" t="n">
        <f aca="false">D24*Supuestos!$D$15*Supuestos!$D$26</f>
        <v>504000000</v>
      </c>
      <c r="E26" s="9" t="n">
        <f aca="false">E24*Supuestos!$D$15*Supuestos!$D$27</f>
        <v>1128960000</v>
      </c>
    </row>
    <row r="27" customFormat="false" ht="15" hidden="false" customHeight="false" outlineLevel="0" collapsed="false">
      <c r="A27" s="4" t="s">
        <v>88</v>
      </c>
      <c r="C27" s="9" t="n">
        <f aca="false">C24*Supuestos!$D$16*Supuestos!$D$17*Supuestos!$D$25*Supuestos!$D$18</f>
        <v>2016000</v>
      </c>
      <c r="D27" s="9" t="n">
        <f aca="false">D24*Supuestos!$D$16*Supuestos!$D$17*Supuestos!$D$26*Supuestos!$D$18</f>
        <v>75600000</v>
      </c>
      <c r="E27" s="9" t="n">
        <f aca="false">E24*Supuestos!$D$16*Supuestos!$D$17*Supuestos!$D$27*Supuestos!$D$18</f>
        <v>169344000</v>
      </c>
    </row>
    <row r="28" customFormat="false" ht="15" hidden="false" customHeight="false" outlineLevel="0" collapsed="false">
      <c r="A28" s="7" t="s">
        <v>89</v>
      </c>
      <c r="C28" s="24" t="n">
        <f aca="false">SUM(C25:C27)</f>
        <v>85456000</v>
      </c>
      <c r="D28" s="24" t="n">
        <f aca="false">SUM(D25:D27)</f>
        <v>1629600000</v>
      </c>
      <c r="E28" s="24" t="n">
        <f aca="false">SUM(E25:E27)</f>
        <v>2978304000</v>
      </c>
    </row>
    <row r="29" customFormat="false" ht="15" hidden="false" customHeight="false" outlineLevel="0" collapsed="false">
      <c r="A29" s="4" t="s">
        <v>90</v>
      </c>
      <c r="C29" s="9" t="n">
        <f aca="false">C23*Supuestos!$D$19*Supuestos!$D$25+C24*Supuestos!$D$20*Supuestos!$D$25</f>
        <v>18480000</v>
      </c>
      <c r="D29" s="9" t="n">
        <f aca="false">D23*Supuestos!$D$19*Supuestos!$D$26+D24*Supuestos!$D$20*Supuestos!$D$26</f>
        <v>378000000</v>
      </c>
      <c r="E29" s="9" t="n">
        <f aca="false">E23*Supuestos!$D$19*Supuestos!$D$27+E24*Supuestos!$D$20*Supuestos!$D$27</f>
        <v>712320000</v>
      </c>
    </row>
    <row r="30" customFormat="false" ht="15" hidden="false" customHeight="false" outlineLevel="0" collapsed="false">
      <c r="A30" s="4" t="s">
        <v>91</v>
      </c>
      <c r="C30" s="9" t="n">
        <f aca="false">C28-C29</f>
        <v>66976000</v>
      </c>
      <c r="D30" s="9" t="n">
        <f aca="false">D28-D29</f>
        <v>1251600000</v>
      </c>
      <c r="E30" s="9" t="n">
        <f aca="false">E28-E29</f>
        <v>2265984000</v>
      </c>
    </row>
    <row r="31" customFormat="false" ht="15" hidden="false" customHeight="false" outlineLevel="0" collapsed="false">
      <c r="A31" s="4" t="s">
        <v>92</v>
      </c>
      <c r="C31" s="9" t="n">
        <f aca="false">Supuestos!$D$22</f>
        <v>270000000</v>
      </c>
      <c r="D31" s="9" t="n">
        <f aca="false">Supuestos!$D$23</f>
        <v>640000000</v>
      </c>
      <c r="E31" s="9" t="n">
        <f aca="false">Supuestos!$D$24</f>
        <v>680000000</v>
      </c>
    </row>
    <row r="32" customFormat="false" ht="15" hidden="false" customHeight="false" outlineLevel="0" collapsed="false">
      <c r="A32" s="7" t="s">
        <v>93</v>
      </c>
      <c r="C32" s="24" t="n">
        <f aca="false">C30-C31</f>
        <v>-203024000</v>
      </c>
      <c r="D32" s="24" t="n">
        <f aca="false">D30-D31</f>
        <v>611600000</v>
      </c>
      <c r="E32" s="24" t="n">
        <f aca="false">E30-E31</f>
        <v>1585984000</v>
      </c>
    </row>
    <row r="33" customFormat="false" ht="15" hidden="false" customHeight="false" outlineLevel="0" collapsed="false">
      <c r="A33" s="4" t="s">
        <v>94</v>
      </c>
      <c r="C33" s="8" t="n">
        <f aca="false">IF(C28=0,0,C32/C28)</f>
        <v>-2.37577232727954</v>
      </c>
      <c r="D33" s="8" t="n">
        <f aca="false">IF(D28=0,0,D32/D28)</f>
        <v>0.375306823760432</v>
      </c>
      <c r="E33" s="8" t="n">
        <f aca="false">IF(E28=0,0,E32/E28)</f>
        <v>0.532512463469142</v>
      </c>
    </row>
    <row r="34" customFormat="false" ht="15" hidden="false" customHeight="false" outlineLevel="0" collapsed="false">
      <c r="A34" s="4" t="s">
        <v>95</v>
      </c>
      <c r="C34" s="9" t="n">
        <f aca="false">Supuestos!$D$21</f>
        <v>800000000</v>
      </c>
      <c r="D34" s="9" t="n">
        <f aca="false">0</f>
        <v>0</v>
      </c>
      <c r="E34" s="9" t="n">
        <f aca="false">0</f>
        <v>0</v>
      </c>
    </row>
    <row r="35" customFormat="false" ht="15" hidden="false" customHeight="false" outlineLevel="0" collapsed="false">
      <c r="A35" s="7" t="s">
        <v>96</v>
      </c>
      <c r="C35" s="24" t="n">
        <f aca="false">C32-C34</f>
        <v>-1003024000</v>
      </c>
      <c r="D35" s="24" t="n">
        <f aca="false">D32-D34</f>
        <v>611600000</v>
      </c>
      <c r="E35" s="24" t="n">
        <f aca="false">E32-E34</f>
        <v>1585984000</v>
      </c>
    </row>
    <row r="36" customFormat="false" ht="15" hidden="false" customHeight="false" outlineLevel="0" collapsed="false">
      <c r="A36" s="4" t="s">
        <v>97</v>
      </c>
      <c r="C36" s="9" t="n">
        <f aca="false">C35</f>
        <v>-1003024000</v>
      </c>
      <c r="D36" s="9" t="n">
        <f aca="false">C36+D35</f>
        <v>-391424000</v>
      </c>
      <c r="E36" s="9" t="n">
        <f aca="false">D36+E35</f>
        <v>1194560000</v>
      </c>
    </row>
    <row r="37" customFormat="false" ht="15" hidden="false" customHeight="false" outlineLevel="0" collapsed="false">
      <c r="A37" s="4" t="s">
        <v>98</v>
      </c>
      <c r="C37" s="9" t="n">
        <f aca="false">C35/(1+Supuestos!$D$28)^1</f>
        <v>-872194782.608696</v>
      </c>
      <c r="D37" s="9" t="n">
        <f aca="false">D35/(1+Supuestos!$D$28)^2</f>
        <v>462457466.918715</v>
      </c>
      <c r="E37" s="9" t="n">
        <f aca="false">E35/(1+Supuestos!$D$28)^3</f>
        <v>1042810224.37741</v>
      </c>
    </row>
    <row r="39" customFormat="false" ht="15" hidden="false" customHeight="false" outlineLevel="0" collapsed="false">
      <c r="A39" s="21" t="s">
        <v>100</v>
      </c>
      <c r="B39" s="22"/>
      <c r="C39" s="23" t="s">
        <v>81</v>
      </c>
      <c r="D39" s="23" t="s">
        <v>82</v>
      </c>
      <c r="E39" s="23" t="s">
        <v>83</v>
      </c>
    </row>
    <row r="40" customFormat="false" ht="15" hidden="false" customHeight="false" outlineLevel="0" collapsed="false">
      <c r="A40" s="4" t="s">
        <v>8</v>
      </c>
      <c r="C40" s="9" t="n">
        <f aca="false">Supuestos!$E$6*Supuestos!$E$7</f>
        <v>1600000</v>
      </c>
      <c r="D40" s="9" t="n">
        <f aca="false">Supuestos!$E$6*Supuestos!$E$7</f>
        <v>1600000</v>
      </c>
      <c r="E40" s="9" t="n">
        <f aca="false">Supuestos!$E$6*Supuestos!$E$7</f>
        <v>1600000</v>
      </c>
    </row>
    <row r="41" customFormat="false" ht="15" hidden="false" customHeight="false" outlineLevel="0" collapsed="false">
      <c r="A41" s="4" t="s">
        <v>84</v>
      </c>
      <c r="C41" s="9" t="n">
        <f aca="false">C40*Supuestos!$E$8</f>
        <v>128000</v>
      </c>
      <c r="D41" s="9" t="n">
        <f aca="false">D40*Supuestos!$E$9</f>
        <v>480000</v>
      </c>
      <c r="E41" s="9" t="n">
        <f aca="false">E40*Supuestos!$E$10</f>
        <v>800000</v>
      </c>
    </row>
    <row r="42" customFormat="false" ht="15" hidden="false" customHeight="false" outlineLevel="0" collapsed="false">
      <c r="A42" s="4" t="s">
        <v>85</v>
      </c>
      <c r="C42" s="9" t="n">
        <f aca="false">C41*Supuestos!$E$11</f>
        <v>6400</v>
      </c>
      <c r="D42" s="9" t="n">
        <f aca="false">D41*Supuestos!$E$12</f>
        <v>57600</v>
      </c>
      <c r="E42" s="9" t="n">
        <f aca="false">E41*Supuestos!$E$13</f>
        <v>144000</v>
      </c>
    </row>
    <row r="43" customFormat="false" ht="15" hidden="false" customHeight="false" outlineLevel="0" collapsed="false">
      <c r="A43" s="4" t="s">
        <v>86</v>
      </c>
      <c r="C43" s="9" t="n">
        <f aca="false">C41*Supuestos!$E$14*Supuestos!$E$25</f>
        <v>153600000</v>
      </c>
      <c r="D43" s="9" t="n">
        <f aca="false">D41*Supuestos!$E$14*Supuestos!$E$26</f>
        <v>1728000000</v>
      </c>
      <c r="E43" s="9" t="n">
        <f aca="false">E41*Supuestos!$E$14*Supuestos!$E$27</f>
        <v>2880000000</v>
      </c>
    </row>
    <row r="44" customFormat="false" ht="15" hidden="false" customHeight="false" outlineLevel="0" collapsed="false">
      <c r="A44" s="4" t="s">
        <v>87</v>
      </c>
      <c r="C44" s="9" t="n">
        <f aca="false">C42*Supuestos!$E$15*Supuestos!$E$25</f>
        <v>35840000</v>
      </c>
      <c r="D44" s="9" t="n">
        <f aca="false">D42*Supuestos!$E$15*Supuestos!$E$26</f>
        <v>967680000</v>
      </c>
      <c r="E44" s="9" t="n">
        <f aca="false">E42*Supuestos!$E$15*Supuestos!$E$27</f>
        <v>2419200000</v>
      </c>
    </row>
    <row r="45" customFormat="false" ht="15" hidden="false" customHeight="false" outlineLevel="0" collapsed="false">
      <c r="A45" s="4" t="s">
        <v>88</v>
      </c>
      <c r="C45" s="9" t="n">
        <f aca="false">C42*Supuestos!$E$16*Supuestos!$E$17*Supuestos!$E$25*Supuestos!$E$18</f>
        <v>6144000</v>
      </c>
      <c r="D45" s="9" t="n">
        <f aca="false">D42*Supuestos!$E$16*Supuestos!$E$17*Supuestos!$E$26*Supuestos!$E$18</f>
        <v>165888000</v>
      </c>
      <c r="E45" s="9" t="n">
        <f aca="false">E42*Supuestos!$E$16*Supuestos!$E$17*Supuestos!$E$27*Supuestos!$E$18</f>
        <v>414720000</v>
      </c>
    </row>
    <row r="46" customFormat="false" ht="15" hidden="false" customHeight="false" outlineLevel="0" collapsed="false">
      <c r="A46" s="7" t="s">
        <v>89</v>
      </c>
      <c r="C46" s="24" t="n">
        <f aca="false">SUM(C43:C45)</f>
        <v>195584000</v>
      </c>
      <c r="D46" s="24" t="n">
        <f aca="false">SUM(D43:D45)</f>
        <v>2861568000</v>
      </c>
      <c r="E46" s="24" t="n">
        <f aca="false">SUM(E43:E45)</f>
        <v>5713920000</v>
      </c>
    </row>
    <row r="47" customFormat="false" ht="15" hidden="false" customHeight="false" outlineLevel="0" collapsed="false">
      <c r="A47" s="4" t="s">
        <v>90</v>
      </c>
      <c r="C47" s="9" t="n">
        <f aca="false">C41*Supuestos!$E$19*Supuestos!$E$25+C42*Supuestos!$E$20*Supuestos!$E$25</f>
        <v>35840000</v>
      </c>
      <c r="D47" s="9" t="n">
        <f aca="false">D41*Supuestos!$E$19*Supuestos!$E$26+D42*Supuestos!$E$20*Supuestos!$E$26</f>
        <v>564480000</v>
      </c>
      <c r="E47" s="9" t="n">
        <f aca="false">E41*Supuestos!$E$19*Supuestos!$E$27+E42*Supuestos!$E$20*Supuestos!$E$27</f>
        <v>1171200000</v>
      </c>
    </row>
    <row r="48" customFormat="false" ht="15" hidden="false" customHeight="false" outlineLevel="0" collapsed="false">
      <c r="A48" s="4" t="s">
        <v>91</v>
      </c>
      <c r="C48" s="9" t="n">
        <f aca="false">C46-C47</f>
        <v>159744000</v>
      </c>
      <c r="D48" s="9" t="n">
        <f aca="false">D46-D47</f>
        <v>2297088000</v>
      </c>
      <c r="E48" s="9" t="n">
        <f aca="false">E46-E47</f>
        <v>4542720000</v>
      </c>
    </row>
    <row r="49" customFormat="false" ht="15" hidden="false" customHeight="false" outlineLevel="0" collapsed="false">
      <c r="A49" s="4" t="s">
        <v>92</v>
      </c>
      <c r="C49" s="9" t="n">
        <f aca="false">Supuestos!$E$22</f>
        <v>270000000</v>
      </c>
      <c r="D49" s="9" t="n">
        <f aca="false">Supuestos!$E$23</f>
        <v>640000000</v>
      </c>
      <c r="E49" s="9" t="n">
        <f aca="false">Supuestos!$E$24</f>
        <v>680000000</v>
      </c>
    </row>
    <row r="50" customFormat="false" ht="15" hidden="false" customHeight="false" outlineLevel="0" collapsed="false">
      <c r="A50" s="7" t="s">
        <v>93</v>
      </c>
      <c r="C50" s="24" t="n">
        <f aca="false">C48-C49</f>
        <v>-110256000</v>
      </c>
      <c r="D50" s="24" t="n">
        <f aca="false">D48-D49</f>
        <v>1657088000</v>
      </c>
      <c r="E50" s="24" t="n">
        <f aca="false">E48-E49</f>
        <v>3862720000</v>
      </c>
    </row>
    <row r="51" customFormat="false" ht="15" hidden="false" customHeight="false" outlineLevel="0" collapsed="false">
      <c r="A51" s="4" t="s">
        <v>94</v>
      </c>
      <c r="C51" s="8" t="n">
        <f aca="false">IF(C46=0,0,C50/C46)</f>
        <v>-0.563727094240838</v>
      </c>
      <c r="D51" s="8" t="n">
        <f aca="false">IF(D46=0,0,D50/D46)</f>
        <v>0.579083914832707</v>
      </c>
      <c r="E51" s="8" t="n">
        <f aca="false">IF(E46=0,0,E50/E46)</f>
        <v>0.676019265232975</v>
      </c>
    </row>
    <row r="52" customFormat="false" ht="15" hidden="false" customHeight="false" outlineLevel="0" collapsed="false">
      <c r="A52" s="4" t="s">
        <v>95</v>
      </c>
      <c r="C52" s="9" t="n">
        <f aca="false">Supuestos!$E$21</f>
        <v>720000000</v>
      </c>
      <c r="D52" s="9" t="n">
        <f aca="false">0</f>
        <v>0</v>
      </c>
      <c r="E52" s="9" t="n">
        <f aca="false">0</f>
        <v>0</v>
      </c>
    </row>
    <row r="53" customFormat="false" ht="15" hidden="false" customHeight="false" outlineLevel="0" collapsed="false">
      <c r="A53" s="7" t="s">
        <v>96</v>
      </c>
      <c r="C53" s="24" t="n">
        <f aca="false">C50-C52</f>
        <v>-830256000</v>
      </c>
      <c r="D53" s="24" t="n">
        <f aca="false">D50-D52</f>
        <v>1657088000</v>
      </c>
      <c r="E53" s="24" t="n">
        <f aca="false">E50-E52</f>
        <v>3862720000</v>
      </c>
    </row>
    <row r="54" customFormat="false" ht="15" hidden="false" customHeight="false" outlineLevel="0" collapsed="false">
      <c r="A54" s="4" t="s">
        <v>97</v>
      </c>
      <c r="C54" s="9" t="n">
        <f aca="false">C53</f>
        <v>-830256000</v>
      </c>
      <c r="D54" s="9" t="n">
        <f aca="false">C54+D53</f>
        <v>826832000</v>
      </c>
      <c r="E54" s="9" t="n">
        <f aca="false">D54+E53</f>
        <v>4689552000</v>
      </c>
    </row>
    <row r="55" customFormat="false" ht="15" hidden="false" customHeight="false" outlineLevel="0" collapsed="false">
      <c r="A55" s="4" t="s">
        <v>98</v>
      </c>
      <c r="C55" s="9" t="n">
        <f aca="false">C53/(1+Supuestos!$E$28)^1</f>
        <v>-721961739.130435</v>
      </c>
      <c r="D55" s="9" t="n">
        <f aca="false">D53/(1+Supuestos!$E$28)^2</f>
        <v>1252996597.3535</v>
      </c>
      <c r="E55" s="9" t="n">
        <f aca="false">E53/(1+Supuestos!$E$28)^3</f>
        <v>2539801101.33969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3" t="s">
        <v>102</v>
      </c>
      <c r="B3" s="3" t="s">
        <v>103</v>
      </c>
      <c r="C3" s="3" t="s">
        <v>30</v>
      </c>
    </row>
    <row r="4" customFormat="false" ht="15" hidden="false" customHeight="false" outlineLevel="0" collapsed="false">
      <c r="A4" s="4" t="s">
        <v>104</v>
      </c>
      <c r="B4" s="25" t="n">
        <f aca="false">0.008</f>
        <v>0.008</v>
      </c>
      <c r="C4" s="13" t="s">
        <v>105</v>
      </c>
    </row>
    <row r="5" customFormat="false" ht="15" hidden="false" customHeight="false" outlineLevel="0" collapsed="false">
      <c r="A5" s="4" t="s">
        <v>106</v>
      </c>
      <c r="B5" s="16" t="n">
        <f aca="false">1800000</f>
        <v>1800000</v>
      </c>
      <c r="C5" s="13" t="s">
        <v>62</v>
      </c>
    </row>
    <row r="6" customFormat="false" ht="15" hidden="false" customHeight="false" outlineLevel="0" collapsed="false">
      <c r="A6" s="4" t="s">
        <v>107</v>
      </c>
      <c r="B6" s="16" t="n">
        <f aca="false">400000</f>
        <v>400000</v>
      </c>
      <c r="C6" s="13" t="s">
        <v>62</v>
      </c>
    </row>
    <row r="7" customFormat="false" ht="15" hidden="false" customHeight="false" outlineLevel="0" collapsed="false">
      <c r="A7" s="4" t="s">
        <v>108</v>
      </c>
      <c r="B7" s="17" t="n">
        <f aca="false">0.25</f>
        <v>0.25</v>
      </c>
      <c r="C7" s="13" t="s">
        <v>109</v>
      </c>
    </row>
    <row r="8" customFormat="false" ht="15" hidden="false" customHeight="false" outlineLevel="0" collapsed="false">
      <c r="A8" s="4" t="s">
        <v>110</v>
      </c>
      <c r="B8" s="17" t="n">
        <f aca="false">0.5</f>
        <v>0.5</v>
      </c>
      <c r="C8" s="13" t="s">
        <v>109</v>
      </c>
    </row>
    <row r="9" customFormat="false" ht="15" hidden="false" customHeight="false" outlineLevel="0" collapsed="false">
      <c r="A9" s="4" t="s">
        <v>111</v>
      </c>
      <c r="B9" s="17" t="n">
        <f aca="false">0.01</f>
        <v>0.01</v>
      </c>
      <c r="C9" s="13" t="s">
        <v>62</v>
      </c>
    </row>
    <row r="10" customFormat="false" ht="15" hidden="false" customHeight="false" outlineLevel="0" collapsed="false">
      <c r="A10" s="4" t="s">
        <v>112</v>
      </c>
      <c r="B10" s="9" t="n">
        <f aca="false">B4*(B5+B6)*B7</f>
        <v>4400</v>
      </c>
      <c r="C10" s="13" t="s">
        <v>113</v>
      </c>
    </row>
    <row r="11" customFormat="false" ht="15" hidden="false" customHeight="false" outlineLevel="0" collapsed="false">
      <c r="A11" s="4" t="s">
        <v>114</v>
      </c>
      <c r="B11" s="9" t="n">
        <f aca="false">Supuestos!$D$14*12</f>
        <v>3000</v>
      </c>
      <c r="C11" s="13" t="s">
        <v>115</v>
      </c>
    </row>
    <row r="12" customFormat="false" ht="15" hidden="false" customHeight="false" outlineLevel="0" collapsed="false">
      <c r="A12" s="4" t="s">
        <v>116</v>
      </c>
      <c r="B12" s="26" t="n">
        <f aca="false">B10/B11</f>
        <v>1.46666666666667</v>
      </c>
      <c r="C12" s="13" t="s">
        <v>117</v>
      </c>
    </row>
    <row r="13" customFormat="false" ht="15" hidden="false" customHeight="false" outlineLevel="0" collapsed="false">
      <c r="A13" s="4" t="s">
        <v>118</v>
      </c>
      <c r="B13" s="9" t="n">
        <f aca="false">B4*(B5+B6)*B8+Supuestos!$D$16*Supuestos!$D$17*12*B9</f>
        <v>19600</v>
      </c>
      <c r="C13" s="13" t="s">
        <v>119</v>
      </c>
    </row>
    <row r="14" customFormat="false" ht="15" hidden="false" customHeight="false" outlineLevel="0" collapsed="false">
      <c r="A14" s="4" t="s">
        <v>120</v>
      </c>
      <c r="B14" s="9" t="n">
        <f aca="false">Supuestos!$D$15*12</f>
        <v>14400</v>
      </c>
      <c r="C14" s="13" t="s">
        <v>115</v>
      </c>
    </row>
    <row r="15" customFormat="false" ht="15" hidden="false" customHeight="false" outlineLevel="0" collapsed="false">
      <c r="A15" s="4" t="s">
        <v>121</v>
      </c>
      <c r="B15" s="26" t="n">
        <f aca="false">B13/B14</f>
        <v>1.36111111111111</v>
      </c>
      <c r="C15" s="1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7" t="s">
        <v>124</v>
      </c>
    </row>
    <row r="4" customFormat="false" ht="15" hidden="false" customHeight="false" outlineLevel="0" collapsed="false">
      <c r="A4" s="3" t="s">
        <v>28</v>
      </c>
      <c r="B4" s="3" t="s">
        <v>125</v>
      </c>
      <c r="C4" s="3" t="s">
        <v>126</v>
      </c>
      <c r="D4" s="3" t="s">
        <v>127</v>
      </c>
    </row>
    <row r="5" customFormat="false" ht="15" hidden="false" customHeight="false" outlineLevel="0" collapsed="false">
      <c r="A5" s="4" t="s">
        <v>128</v>
      </c>
      <c r="B5" s="14" t="n">
        <v>134</v>
      </c>
      <c r="C5" s="14" t="n">
        <v>1132</v>
      </c>
      <c r="D5" s="11" t="n">
        <f aca="false">ABS(C5-B5)</f>
        <v>998</v>
      </c>
    </row>
    <row r="6" customFormat="false" ht="15" hidden="false" customHeight="false" outlineLevel="0" collapsed="false">
      <c r="A6" s="4" t="s">
        <v>129</v>
      </c>
      <c r="B6" s="14" t="n">
        <v>241</v>
      </c>
      <c r="C6" s="14" t="n">
        <v>1025</v>
      </c>
      <c r="D6" s="11" t="n">
        <f aca="false">ABS(C6-B6)</f>
        <v>784</v>
      </c>
    </row>
    <row r="7" customFormat="false" ht="15" hidden="false" customHeight="false" outlineLevel="0" collapsed="false">
      <c r="A7" s="4" t="s">
        <v>130</v>
      </c>
      <c r="B7" s="14" t="n">
        <v>406</v>
      </c>
      <c r="C7" s="14" t="n">
        <v>860</v>
      </c>
      <c r="D7" s="11" t="n">
        <f aca="false">ABS(C7-B7)</f>
        <v>454</v>
      </c>
    </row>
    <row r="8" customFormat="false" ht="15" hidden="false" customHeight="false" outlineLevel="0" collapsed="false">
      <c r="A8" s="4" t="s">
        <v>131</v>
      </c>
      <c r="B8" s="14" t="n">
        <v>448</v>
      </c>
      <c r="C8" s="14" t="n">
        <v>818</v>
      </c>
      <c r="D8" s="11" t="n">
        <f aca="false">ABS(C8-B8)</f>
        <v>370</v>
      </c>
    </row>
    <row r="9" customFormat="false" ht="15" hidden="false" customHeight="false" outlineLevel="0" collapsed="false">
      <c r="A9" s="4" t="s">
        <v>92</v>
      </c>
      <c r="B9" s="14" t="n">
        <v>866</v>
      </c>
      <c r="C9" s="14" t="n">
        <v>400</v>
      </c>
      <c r="D9" s="11" t="n">
        <f aca="false">ABS(C9-B9)</f>
        <v>466</v>
      </c>
    </row>
    <row r="10" customFormat="false" ht="15" hidden="false" customHeight="false" outlineLevel="0" collapsed="false">
      <c r="A10" s="4" t="s">
        <v>132</v>
      </c>
      <c r="B10" s="14" t="n">
        <v>772</v>
      </c>
      <c r="C10" s="14" t="n">
        <v>494</v>
      </c>
      <c r="D10" s="11" t="n">
        <f aca="false">ABS(C10-B10)</f>
        <v>278</v>
      </c>
    </row>
    <row r="12" customFormat="false" ht="15" hidden="false" customHeight="false" outlineLevel="0" collapsed="false">
      <c r="A12" s="7" t="s">
        <v>133</v>
      </c>
      <c r="B12" s="11" t="n">
        <f aca="false">Resumen!C16/1000000</f>
        <v>633.072908687433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45"/>
  </cols>
  <sheetData>
    <row r="1" customFormat="false" ht="16.1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3" t="s">
        <v>135</v>
      </c>
      <c r="B3" s="3" t="s">
        <v>136</v>
      </c>
      <c r="C3" s="3" t="s">
        <v>137</v>
      </c>
      <c r="D3" s="3" t="s">
        <v>138</v>
      </c>
    </row>
    <row r="4" customFormat="false" ht="32.8" hidden="false" customHeight="false" outlineLevel="0" collapsed="false">
      <c r="A4" s="15" t="s">
        <v>139</v>
      </c>
      <c r="B4" s="28" t="s">
        <v>140</v>
      </c>
      <c r="C4" s="15" t="s">
        <v>141</v>
      </c>
      <c r="D4" s="15" t="s">
        <v>142</v>
      </c>
    </row>
    <row r="5" customFormat="false" ht="32.8" hidden="false" customHeight="false" outlineLevel="0" collapsed="false">
      <c r="A5" s="15" t="s">
        <v>143</v>
      </c>
      <c r="B5" s="28" t="s">
        <v>144</v>
      </c>
      <c r="C5" s="15" t="s">
        <v>145</v>
      </c>
      <c r="D5" s="15" t="s">
        <v>146</v>
      </c>
    </row>
    <row r="6" customFormat="false" ht="32.8" hidden="false" customHeight="false" outlineLevel="0" collapsed="false">
      <c r="A6" s="15" t="s">
        <v>147</v>
      </c>
      <c r="B6" s="28" t="s">
        <v>148</v>
      </c>
      <c r="C6" s="15" t="s">
        <v>149</v>
      </c>
      <c r="D6" s="15" t="s">
        <v>150</v>
      </c>
    </row>
    <row r="7" customFormat="false" ht="22.35" hidden="false" customHeight="false" outlineLevel="0" collapsed="false">
      <c r="A7" s="15" t="s">
        <v>151</v>
      </c>
      <c r="B7" s="28" t="s">
        <v>152</v>
      </c>
      <c r="C7" s="15" t="s">
        <v>153</v>
      </c>
      <c r="D7" s="15" t="s">
        <v>154</v>
      </c>
    </row>
    <row r="8" customFormat="false" ht="22.35" hidden="false" customHeight="false" outlineLevel="0" collapsed="false">
      <c r="A8" s="15" t="s">
        <v>155</v>
      </c>
      <c r="B8" s="28" t="s">
        <v>156</v>
      </c>
      <c r="C8" s="15" t="s">
        <v>157</v>
      </c>
      <c r="D8" s="15" t="s">
        <v>158</v>
      </c>
    </row>
    <row r="9" customFormat="false" ht="22.35" hidden="false" customHeight="false" outlineLevel="0" collapsed="false">
      <c r="A9" s="15" t="s">
        <v>159</v>
      </c>
      <c r="B9" s="28" t="s">
        <v>160</v>
      </c>
      <c r="C9" s="15" t="s">
        <v>161</v>
      </c>
      <c r="D9" s="15" t="s">
        <v>162</v>
      </c>
    </row>
    <row r="10" customFormat="false" ht="32.8" hidden="false" customHeight="false" outlineLevel="0" collapsed="false">
      <c r="A10" s="15" t="s">
        <v>163</v>
      </c>
      <c r="B10" s="28" t="s">
        <v>164</v>
      </c>
      <c r="C10" s="15" t="s">
        <v>165</v>
      </c>
      <c r="D10" s="1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5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167</v>
      </c>
    </row>
    <row r="3" customFormat="false" ht="15" hidden="false" customHeight="false" outlineLevel="0" collapsed="false">
      <c r="A3" s="3" t="s">
        <v>168</v>
      </c>
      <c r="B3" s="3" t="s">
        <v>169</v>
      </c>
      <c r="C3" s="3" t="s">
        <v>170</v>
      </c>
    </row>
    <row r="4" customFormat="false" ht="15" hidden="false" customHeight="false" outlineLevel="0" collapsed="false">
      <c r="A4" s="15" t="s">
        <v>171</v>
      </c>
      <c r="B4" s="15" t="s">
        <v>172</v>
      </c>
      <c r="C4" s="15" t="s">
        <v>173</v>
      </c>
    </row>
    <row r="5" customFormat="false" ht="15" hidden="false" customHeight="false" outlineLevel="0" collapsed="false">
      <c r="A5" s="15" t="s">
        <v>174</v>
      </c>
      <c r="B5" s="15" t="s">
        <v>175</v>
      </c>
      <c r="C5" s="15" t="s">
        <v>176</v>
      </c>
    </row>
    <row r="6" customFormat="false" ht="22.35" hidden="false" customHeight="false" outlineLevel="0" collapsed="false">
      <c r="A6" s="15" t="s">
        <v>177</v>
      </c>
      <c r="B6" s="15" t="s">
        <v>178</v>
      </c>
      <c r="C6" s="15" t="s">
        <v>179</v>
      </c>
    </row>
    <row r="7" customFormat="false" ht="22.35" hidden="false" customHeight="false" outlineLevel="0" collapsed="false">
      <c r="A7" s="15" t="s">
        <v>180</v>
      </c>
      <c r="B7" s="15" t="s">
        <v>181</v>
      </c>
      <c r="C7" s="15" t="s">
        <v>182</v>
      </c>
    </row>
    <row r="8" customFormat="false" ht="15" hidden="false" customHeight="false" outlineLevel="0" collapsed="false">
      <c r="A8" s="15" t="s">
        <v>183</v>
      </c>
      <c r="B8" s="15" t="s">
        <v>184</v>
      </c>
      <c r="C8" s="15" t="s">
        <v>185</v>
      </c>
    </row>
    <row r="9" customFormat="false" ht="22.35" hidden="false" customHeight="false" outlineLevel="0" collapsed="false">
      <c r="A9" s="15" t="s">
        <v>186</v>
      </c>
      <c r="B9" s="15" t="s">
        <v>187</v>
      </c>
      <c r="C9" s="15" t="s">
        <v>188</v>
      </c>
    </row>
    <row r="10" customFormat="false" ht="15" hidden="false" customHeight="false" outlineLevel="0" collapsed="false">
      <c r="A10" s="15" t="s">
        <v>189</v>
      </c>
      <c r="B10" s="15" t="s">
        <v>190</v>
      </c>
      <c r="C10" s="15" t="s">
        <v>191</v>
      </c>
    </row>
    <row r="11" customFormat="false" ht="15" hidden="false" customHeight="false" outlineLevel="0" collapsed="false">
      <c r="A11" s="15" t="s">
        <v>192</v>
      </c>
      <c r="B11" s="15" t="s">
        <v>193</v>
      </c>
      <c r="C11" s="15" t="s">
        <v>194</v>
      </c>
    </row>
    <row r="12" customFormat="false" ht="22.35" hidden="false" customHeight="false" outlineLevel="0" collapsed="false">
      <c r="A12" s="15" t="s">
        <v>195</v>
      </c>
      <c r="B12" s="15" t="s">
        <v>196</v>
      </c>
      <c r="C12" s="15" t="s">
        <v>197</v>
      </c>
    </row>
    <row r="13" customFormat="false" ht="15" hidden="false" customHeight="false" outlineLevel="0" collapsed="false">
      <c r="A13" s="15" t="s">
        <v>198</v>
      </c>
      <c r="B13" s="15" t="s">
        <v>199</v>
      </c>
      <c r="C13" s="15" t="s">
        <v>200</v>
      </c>
    </row>
    <row r="14" customFormat="false" ht="22.35" hidden="false" customHeight="false" outlineLevel="0" collapsed="false">
      <c r="A14" s="15" t="s">
        <v>201</v>
      </c>
      <c r="B14" s="15" t="s">
        <v>202</v>
      </c>
      <c r="C14" s="15" t="s">
        <v>203</v>
      </c>
    </row>
    <row r="15" customFormat="false" ht="22.35" hidden="false" customHeight="false" outlineLevel="0" collapsed="false">
      <c r="A15" s="15" t="s">
        <v>204</v>
      </c>
      <c r="B15" s="15" t="s">
        <v>205</v>
      </c>
      <c r="C15" s="15" t="s">
        <v>206</v>
      </c>
    </row>
    <row r="16" customFormat="false" ht="22.35" hidden="false" customHeight="false" outlineLevel="0" collapsed="false">
      <c r="A16" s="15" t="s">
        <v>207</v>
      </c>
      <c r="B16" s="15" t="s">
        <v>208</v>
      </c>
      <c r="C16" s="15" t="s">
        <v>209</v>
      </c>
    </row>
    <row r="17" customFormat="false" ht="15" hidden="false" customHeight="false" outlineLevel="0" collapsed="false">
      <c r="A17" s="15" t="s">
        <v>210</v>
      </c>
      <c r="B17" s="15" t="s">
        <v>211</v>
      </c>
      <c r="C17" s="15" t="s">
        <v>212</v>
      </c>
    </row>
    <row r="18" customFormat="false" ht="15" hidden="false" customHeight="false" outlineLevel="0" collapsed="false">
      <c r="A18" s="15" t="s">
        <v>213</v>
      </c>
      <c r="B18" s="15" t="s">
        <v>214</v>
      </c>
      <c r="C18" s="15" t="s">
        <v>215</v>
      </c>
    </row>
    <row r="19" customFormat="false" ht="22.35" hidden="false" customHeight="false" outlineLevel="0" collapsed="false">
      <c r="A19" s="15" t="s">
        <v>216</v>
      </c>
      <c r="B19" s="15" t="s">
        <v>217</v>
      </c>
      <c r="C19" s="15" t="s">
        <v>218</v>
      </c>
    </row>
    <row r="20" customFormat="false" ht="22.35" hidden="false" customHeight="false" outlineLevel="0" collapsed="false">
      <c r="A20" s="15" t="s">
        <v>219</v>
      </c>
      <c r="B20" s="15" t="s">
        <v>220</v>
      </c>
      <c r="C20" s="15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2026-10-18T13:00:07Z</dcterms:created>
  <dc:creator>openpyxl</dc:creator>
  <dc:description/>
  <dc:language>en-US</dc:language>
  <cp:lastModifiedBy/>
  <dcterms:modified xsi:type="dcterms:W3CDTF">2026-10-18T13:00:07Z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